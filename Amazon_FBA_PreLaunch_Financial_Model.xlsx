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eenmufti/Desktop/Portfolio/FBA Project 2/"/>
    </mc:Choice>
  </mc:AlternateContent>
  <xr:revisionPtr revIDLastSave="0" documentId="13_ncr:1_{91259254-9179-E347-894B-0A08B77B1DD8}" xr6:coauthVersionLast="47" xr6:coauthVersionMax="47" xr10:uidLastSave="{00000000-0000-0000-0000-000000000000}"/>
  <bookViews>
    <workbookView xWindow="1100" yWindow="800" windowWidth="28040" windowHeight="17440" xr2:uid="{98CBF60C-52CA-294D-893E-D51236C270DE}"/>
  </bookViews>
  <sheets>
    <sheet name="orders_raw" sheetId="1" r:id="rId1"/>
    <sheet name="product_costs " sheetId="2" r:id="rId2"/>
    <sheet name="fee_lookup" sheetId="3" r:id="rId3"/>
    <sheet name="processed_orders" sheetId="4" r:id="rId4"/>
    <sheet name="pivot_sku_profitabilty" sheetId="7" r:id="rId5"/>
    <sheet name="reconciliation_checks" sheetId="5" r:id="rId6"/>
    <sheet name="forecasting_and_sensitivity " sheetId="6" r:id="rId7"/>
  </sheets>
  <calcPr calcId="191029"/>
  <pivotCaches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F3" i="6"/>
  <c r="F2" i="6"/>
  <c r="G2" i="6"/>
  <c r="A4" i="6"/>
  <c r="E3" i="6"/>
  <c r="E2" i="6"/>
  <c r="D3" i="6"/>
  <c r="D2" i="6"/>
  <c r="C3" i="6"/>
  <c r="B3" i="6"/>
  <c r="C2" i="6"/>
  <c r="B2" i="6"/>
  <c r="B3" i="5"/>
  <c r="B4" i="5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N10" i="4"/>
  <c r="N11" i="4"/>
  <c r="O11" i="4" s="1"/>
  <c r="N17" i="4"/>
  <c r="N20" i="4"/>
  <c r="N21" i="4"/>
  <c r="O21" i="4" s="1"/>
  <c r="N27" i="4"/>
  <c r="N30" i="4"/>
  <c r="N3" i="4"/>
  <c r="O3" i="4" s="1"/>
  <c r="N9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2" i="4"/>
  <c r="K10" i="4"/>
  <c r="K11" i="4"/>
  <c r="K12" i="4"/>
  <c r="N12" i="4" s="1"/>
  <c r="O12" i="4" s="1"/>
  <c r="K13" i="4"/>
  <c r="N13" i="4" s="1"/>
  <c r="O13" i="4" s="1"/>
  <c r="K14" i="4"/>
  <c r="N14" i="4" s="1"/>
  <c r="K15" i="4"/>
  <c r="N15" i="4" s="1"/>
  <c r="K16" i="4"/>
  <c r="N16" i="4" s="1"/>
  <c r="K17" i="4"/>
  <c r="K18" i="4"/>
  <c r="N18" i="4" s="1"/>
  <c r="K19" i="4"/>
  <c r="N19" i="4" s="1"/>
  <c r="K20" i="4"/>
  <c r="K21" i="4"/>
  <c r="K22" i="4"/>
  <c r="N22" i="4" s="1"/>
  <c r="O22" i="4" s="1"/>
  <c r="K23" i="4"/>
  <c r="N23" i="4" s="1"/>
  <c r="O23" i="4" s="1"/>
  <c r="K24" i="4"/>
  <c r="N24" i="4" s="1"/>
  <c r="K25" i="4"/>
  <c r="N25" i="4" s="1"/>
  <c r="K26" i="4"/>
  <c r="N26" i="4" s="1"/>
  <c r="K27" i="4"/>
  <c r="K28" i="4"/>
  <c r="N28" i="4" s="1"/>
  <c r="K29" i="4"/>
  <c r="N29" i="4" s="1"/>
  <c r="K30" i="4"/>
  <c r="K3" i="4"/>
  <c r="K4" i="4"/>
  <c r="N4" i="4" s="1"/>
  <c r="K5" i="4"/>
  <c r="N5" i="4" s="1"/>
  <c r="K6" i="4"/>
  <c r="N6" i="4" s="1"/>
  <c r="K7" i="4"/>
  <c r="N7" i="4" s="1"/>
  <c r="K8" i="4"/>
  <c r="N8" i="4" s="1"/>
  <c r="K9" i="4"/>
  <c r="K2" i="4"/>
  <c r="N2" i="4" s="1"/>
  <c r="O2" i="4" s="1"/>
  <c r="J3" i="4"/>
  <c r="J4" i="4"/>
  <c r="O4" i="4" s="1"/>
  <c r="J5" i="4"/>
  <c r="O5" i="4" s="1"/>
  <c r="J6" i="4"/>
  <c r="O6" i="4" s="1"/>
  <c r="J7" i="4"/>
  <c r="J8" i="4"/>
  <c r="J9" i="4"/>
  <c r="O9" i="4" s="1"/>
  <c r="J10" i="4"/>
  <c r="O10" i="4" s="1"/>
  <c r="J11" i="4"/>
  <c r="J12" i="4"/>
  <c r="J13" i="4"/>
  <c r="J14" i="4"/>
  <c r="O14" i="4" s="1"/>
  <c r="J15" i="4"/>
  <c r="O15" i="4" s="1"/>
  <c r="J16" i="4"/>
  <c r="O16" i="4" s="1"/>
  <c r="J17" i="4"/>
  <c r="O17" i="4" s="1"/>
  <c r="J18" i="4"/>
  <c r="J19" i="4"/>
  <c r="J20" i="4"/>
  <c r="O20" i="4" s="1"/>
  <c r="J21" i="4"/>
  <c r="J22" i="4"/>
  <c r="J23" i="4"/>
  <c r="J24" i="4"/>
  <c r="O24" i="4" s="1"/>
  <c r="J25" i="4"/>
  <c r="O25" i="4" s="1"/>
  <c r="J26" i="4"/>
  <c r="O26" i="4" s="1"/>
  <c r="J27" i="4"/>
  <c r="O27" i="4" s="1"/>
  <c r="J28" i="4"/>
  <c r="J29" i="4"/>
  <c r="J30" i="4"/>
  <c r="O30" i="4" s="1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2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2" i="4"/>
  <c r="G22" i="4"/>
  <c r="G23" i="4"/>
  <c r="G24" i="4"/>
  <c r="G25" i="4"/>
  <c r="G26" i="4"/>
  <c r="G27" i="4"/>
  <c r="G28" i="4"/>
  <c r="G29" i="4"/>
  <c r="G30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3" i="4"/>
  <c r="G4" i="4"/>
  <c r="G5" i="4"/>
  <c r="G6" i="4"/>
  <c r="G7" i="4"/>
  <c r="G8" i="4"/>
  <c r="G2" i="4"/>
  <c r="F2" i="2"/>
  <c r="F3" i="4"/>
  <c r="F4" i="4"/>
  <c r="F5" i="4"/>
  <c r="F6" i="4"/>
  <c r="P6" i="4" s="1"/>
  <c r="Q6" i="4" s="1"/>
  <c r="F7" i="4"/>
  <c r="F8" i="4"/>
  <c r="F9" i="4"/>
  <c r="P9" i="4" s="1"/>
  <c r="Q9" i="4" s="1"/>
  <c r="F10" i="4"/>
  <c r="F11" i="4"/>
  <c r="P11" i="4" s="1"/>
  <c r="Q11" i="4" s="1"/>
  <c r="F12" i="4"/>
  <c r="F13" i="4"/>
  <c r="P13" i="4" s="1"/>
  <c r="Q13" i="4" s="1"/>
  <c r="F14" i="4"/>
  <c r="F15" i="4"/>
  <c r="F16" i="4"/>
  <c r="P16" i="4" s="1"/>
  <c r="Q16" i="4" s="1"/>
  <c r="F17" i="4"/>
  <c r="P17" i="4" s="1"/>
  <c r="Q17" i="4" s="1"/>
  <c r="F18" i="4"/>
  <c r="F19" i="4"/>
  <c r="F20" i="4"/>
  <c r="F21" i="4"/>
  <c r="F22" i="4"/>
  <c r="F23" i="4"/>
  <c r="P23" i="4" s="1"/>
  <c r="Q23" i="4" s="1"/>
  <c r="F24" i="4"/>
  <c r="F25" i="4"/>
  <c r="F26" i="4"/>
  <c r="P26" i="4" s="1"/>
  <c r="Q26" i="4" s="1"/>
  <c r="F27" i="4"/>
  <c r="P27" i="4" s="1"/>
  <c r="Q27" i="4" s="1"/>
  <c r="F28" i="4"/>
  <c r="F29" i="4"/>
  <c r="F30" i="4"/>
  <c r="F2" i="4"/>
  <c r="B5" i="5" l="1"/>
  <c r="B6" i="5" s="1"/>
  <c r="P19" i="4"/>
  <c r="Q19" i="4" s="1"/>
  <c r="P5" i="4"/>
  <c r="Q5" i="4" s="1"/>
  <c r="P24" i="4"/>
  <c r="Q24" i="4" s="1"/>
  <c r="P3" i="4"/>
  <c r="Q3" i="4" s="1"/>
  <c r="P7" i="4"/>
  <c r="Q7" i="4" s="1"/>
  <c r="P15" i="4"/>
  <c r="Q15" i="4" s="1"/>
  <c r="P14" i="4"/>
  <c r="Q14" i="4" s="1"/>
  <c r="P22" i="4"/>
  <c r="Q22" i="4" s="1"/>
  <c r="O19" i="4"/>
  <c r="P21" i="4"/>
  <c r="Q21" i="4" s="1"/>
  <c r="P8" i="4"/>
  <c r="Q8" i="4" s="1"/>
  <c r="P25" i="4"/>
  <c r="Q25" i="4" s="1"/>
  <c r="P4" i="4"/>
  <c r="Q4" i="4" s="1"/>
  <c r="P12" i="4"/>
  <c r="Q12" i="4" s="1"/>
  <c r="O29" i="4"/>
  <c r="P29" i="4" s="1"/>
  <c r="Q29" i="4" s="1"/>
  <c r="P2" i="4"/>
  <c r="Q2" i="4" s="1"/>
  <c r="O28" i="4"/>
  <c r="P28" i="4" s="1"/>
  <c r="Q28" i="4" s="1"/>
  <c r="O18" i="4"/>
  <c r="P18" i="4" s="1"/>
  <c r="Q18" i="4" s="1"/>
  <c r="O8" i="4"/>
  <c r="P30" i="4"/>
  <c r="Q30" i="4" s="1"/>
  <c r="P20" i="4"/>
  <c r="Q20" i="4" s="1"/>
  <c r="P10" i="4"/>
  <c r="Q10" i="4" s="1"/>
  <c r="O7" i="4"/>
</calcChain>
</file>

<file path=xl/sharedStrings.xml><?xml version="1.0" encoding="utf-8"?>
<sst xmlns="http://schemas.openxmlformats.org/spreadsheetml/2006/main" count="189" uniqueCount="87">
  <si>
    <t>order_id</t>
  </si>
  <si>
    <t>date</t>
  </si>
  <si>
    <t>sku</t>
  </si>
  <si>
    <t xml:space="preserve">units </t>
  </si>
  <si>
    <t xml:space="preserve">sale_price </t>
  </si>
  <si>
    <t>Referral Fee</t>
  </si>
  <si>
    <t xml:space="preserve">supplier_cost </t>
  </si>
  <si>
    <t>shipping_to_amazon</t>
  </si>
  <si>
    <t>packaging_cost</t>
  </si>
  <si>
    <t>landed_unit_cost</t>
  </si>
  <si>
    <t>BZP-022</t>
  </si>
  <si>
    <t>BZP-021</t>
  </si>
  <si>
    <t>BZP-026</t>
  </si>
  <si>
    <t>BZP-001</t>
  </si>
  <si>
    <t>BZP-003</t>
  </si>
  <si>
    <t>BZP-004</t>
  </si>
  <si>
    <t>BZP-005</t>
  </si>
  <si>
    <t>BZP-006</t>
  </si>
  <si>
    <t>BZP-007</t>
  </si>
  <si>
    <t>BZP-008</t>
  </si>
  <si>
    <t>BZP-009</t>
  </si>
  <si>
    <t>BZP-010</t>
  </si>
  <si>
    <t>BZP-011</t>
  </si>
  <si>
    <t>BZP-012</t>
  </si>
  <si>
    <t>BZP-017</t>
  </si>
  <si>
    <t>BZP-024</t>
  </si>
  <si>
    <t>BZP-025</t>
  </si>
  <si>
    <t>BZP-023</t>
  </si>
  <si>
    <t>BZP-027</t>
  </si>
  <si>
    <t>BZP-028</t>
  </si>
  <si>
    <t>BZP-029</t>
  </si>
  <si>
    <t>BZP-002</t>
  </si>
  <si>
    <t>BZP-013</t>
  </si>
  <si>
    <t>BZP-014</t>
  </si>
  <si>
    <t>BZP-015</t>
  </si>
  <si>
    <t>BZP-016</t>
  </si>
  <si>
    <t>BZP-018</t>
  </si>
  <si>
    <t>BZP-019</t>
  </si>
  <si>
    <t>BZP-020</t>
  </si>
  <si>
    <t>SPICE-2T</t>
  </si>
  <si>
    <t>SPICE-3T</t>
  </si>
  <si>
    <t>amazon_fee_per_unit</t>
  </si>
  <si>
    <t>fee_type</t>
  </si>
  <si>
    <t>fee_method</t>
  </si>
  <si>
    <t>applies_to</t>
  </si>
  <si>
    <t>fee_value</t>
  </si>
  <si>
    <t>notes</t>
  </si>
  <si>
    <t>Percentage</t>
  </si>
  <si>
    <t>Fixed</t>
  </si>
  <si>
    <t>All</t>
  </si>
  <si>
    <t>Kitchen Category</t>
  </si>
  <si>
    <t>Standard Amazon referral fee for Kitchen products</t>
  </si>
  <si>
    <t>FBA Fulfillment Fee</t>
  </si>
  <si>
    <t>Estimated fulfillment fee based on size and weight (2-tier)</t>
  </si>
  <si>
    <t>Estimated fulfillment fee from Helium 10 calculator (3-tier)</t>
  </si>
  <si>
    <t>Storage Fee</t>
  </si>
  <si>
    <t>Average non-peak monthly storage fee per unit</t>
  </si>
  <si>
    <t xml:space="preserve">sku </t>
  </si>
  <si>
    <t>sale_price</t>
  </si>
  <si>
    <t>revenue</t>
  </si>
  <si>
    <t>supplier_cost_per_unit</t>
  </si>
  <si>
    <t>shipping_cost_per_unit</t>
  </si>
  <si>
    <t>packaging_cost_per_unit</t>
  </si>
  <si>
    <t>referral_fee</t>
  </si>
  <si>
    <t>fulfillment_fee</t>
  </si>
  <si>
    <t>storage_fee</t>
  </si>
  <si>
    <t>amazon_fee_total</t>
  </si>
  <si>
    <t>total_cost</t>
  </si>
  <si>
    <t>net_profit</t>
  </si>
  <si>
    <t>profit_margin</t>
  </si>
  <si>
    <t>Row Labels</t>
  </si>
  <si>
    <t>Grand Total</t>
  </si>
  <si>
    <t>Sum of revenue</t>
  </si>
  <si>
    <t>Sum of total_cost</t>
  </si>
  <si>
    <t>Sum of net_profit</t>
  </si>
  <si>
    <t>Average of profit_margin</t>
  </si>
  <si>
    <t>revenue_order_raw</t>
  </si>
  <si>
    <t>revenue_processed_orders</t>
  </si>
  <si>
    <t>difference</t>
  </si>
  <si>
    <t>status</t>
  </si>
  <si>
    <t>revenue_calculation</t>
  </si>
  <si>
    <t>average_daily_unit</t>
  </si>
  <si>
    <t>average_daily_net_profit</t>
  </si>
  <si>
    <t>base_30d_units</t>
  </si>
  <si>
    <t>base_30d_net_profit</t>
  </si>
  <si>
    <t>net_profit_downside_10pct</t>
  </si>
  <si>
    <t>net_profit_upside_10pct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</si>
</sst>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4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</cellXfs>
  <cellStyles count="2">
    <cellStyle name="Hyperlink" xfId="1" builtinId="8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0</xdr:row>
      <xdr:rowOff>76200</xdr:rowOff>
    </xdr:from>
    <xdr:to>
      <xdr:col>4</xdr:col>
      <xdr:colOff>838200</xdr:colOff>
      <xdr:row>1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849173-31F1-1EA0-5814-F4F25FF4C04B}"/>
            </a:ext>
          </a:extLst>
        </xdr:cNvPr>
        <xdr:cNvSpPr txBox="1"/>
      </xdr:nvSpPr>
      <xdr:spPr>
        <a:xfrm>
          <a:off x="254000" y="76200"/>
          <a:ext cx="4978400" cy="292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tx1"/>
              </a:solidFill>
            </a:rPr>
            <a:t>SKU-Level Profitability Summary (Pre-Launch)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88900</xdr:rowOff>
    </xdr:from>
    <xdr:to>
      <xdr:col>1</xdr:col>
      <xdr:colOff>1244600</xdr:colOff>
      <xdr:row>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376E9C-36D5-4798-9A21-E4ECF00AE898}"/>
            </a:ext>
          </a:extLst>
        </xdr:cNvPr>
        <xdr:cNvSpPr txBox="1"/>
      </xdr:nvSpPr>
      <xdr:spPr>
        <a:xfrm>
          <a:off x="190500" y="88900"/>
          <a:ext cx="314960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REVENUE</a:t>
          </a:r>
          <a:r>
            <a:rPr lang="en-US" sz="1100" b="1" baseline="0"/>
            <a:t> RECONCILIATION CHECKS </a:t>
          </a:r>
          <a:endParaRPr lang="en-US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en Mufti" refreshedDate="46026.966538078705" createdVersion="8" refreshedVersion="8" minRefreshableVersion="3" recordCount="29" xr:uid="{9F5D80F2-8A51-BC47-BC13-E78DFF407AE8}">
  <cacheSource type="worksheet">
    <worksheetSource name="tbl_processed"/>
  </cacheSource>
  <cacheFields count="17">
    <cacheField name="order_id" numFmtId="14">
      <sharedItems/>
    </cacheField>
    <cacheField name="date" numFmtId="14">
      <sharedItems containsSemiMixedTypes="0" containsNonDate="0" containsDate="1" containsString="0" minDate="2025-11-29T00:00:00" maxDate="2025-12-28T00:00:00"/>
    </cacheField>
    <cacheField name="sku " numFmtId="0">
      <sharedItems count="2">
        <s v="SPICE-2T"/>
        <s v="SPICE-3T"/>
      </sharedItems>
    </cacheField>
    <cacheField name="units " numFmtId="0">
      <sharedItems containsSemiMixedTypes="0" containsString="0" containsNumber="1" containsInteger="1" minValue="1" maxValue="2"/>
    </cacheField>
    <cacheField name="sale_price" numFmtId="0">
      <sharedItems containsSemiMixedTypes="0" containsString="0" containsNumber="1" minValue="18.989999999999998" maxValue="39.99"/>
    </cacheField>
    <cacheField name="revenue" numFmtId="0">
      <sharedItems containsSemiMixedTypes="0" containsString="0" containsNumber="1" minValue="18.989999999999998" maxValue="79.98"/>
    </cacheField>
    <cacheField name="supplier_cost_per_unit" numFmtId="0">
      <sharedItems containsSemiMixedTypes="0" containsString="0" containsNumber="1" minValue="3.75" maxValue="7.71"/>
    </cacheField>
    <cacheField name="shipping_cost_per_unit" numFmtId="0">
      <sharedItems containsSemiMixedTypes="0" containsString="0" containsNumber="1" minValue="1.1200000000000001" maxValue="1.5"/>
    </cacheField>
    <cacheField name="packaging_cost_per_unit" numFmtId="0">
      <sharedItems containsSemiMixedTypes="0" containsString="0" containsNumber="1" containsInteger="1" minValue="1" maxValue="1"/>
    </cacheField>
    <cacheField name="landed_unit_cost" numFmtId="0">
      <sharedItems containsSemiMixedTypes="0" containsString="0" containsNumber="1" minValue="5.87" maxValue="10.210000000000001"/>
    </cacheField>
    <cacheField name="referral_fee" numFmtId="0">
      <sharedItems containsSemiMixedTypes="0" containsString="0" containsNumber="1" minValue="2.8484999999999996" maxValue="5.9984999999999999"/>
    </cacheField>
    <cacheField name="fulfillment_fee" numFmtId="0">
      <sharedItems containsSemiMixedTypes="0" containsString="0" containsNumber="1" minValue="4.2" maxValue="7.33"/>
    </cacheField>
    <cacheField name="storage_fee" numFmtId="0">
      <sharedItems containsSemiMixedTypes="0" containsString="0" containsNumber="1" minValue="0.1" maxValue="0.1"/>
    </cacheField>
    <cacheField name="amazon_fee_total" numFmtId="0">
      <sharedItems containsSemiMixedTypes="0" containsString="0" containsNumber="1" minValue="7.1484999999999994" maxValue="13.4285"/>
    </cacheField>
    <cacheField name="total_cost" numFmtId="0">
      <sharedItems containsSemiMixedTypes="0" containsString="0" containsNumber="1" minValue="13.0185" maxValue="23.638500000000001"/>
    </cacheField>
    <cacheField name="net_profit" numFmtId="0">
      <sharedItems containsSemiMixedTypes="0" containsString="0" containsNumber="1" minValue="5.9714999999999989" maxValue="56.341500000000003"/>
    </cacheField>
    <cacheField name="profit_margin" numFmtId="0">
      <sharedItems containsSemiMixedTypes="0" containsString="0" containsNumber="1" minValue="0.31445497630331748" maxValue="0.704444861215303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BZP-001"/>
    <d v="2025-11-29T00:00:00"/>
    <x v="0"/>
    <n v="1"/>
    <n v="18.989999999999998"/>
    <n v="18.989999999999998"/>
    <n v="3.75"/>
    <n v="1.1200000000000001"/>
    <n v="1"/>
    <n v="5.87"/>
    <n v="2.8484999999999996"/>
    <n v="4.2"/>
    <n v="0.1"/>
    <n v="7.1484999999999994"/>
    <n v="13.0185"/>
    <n v="5.9714999999999989"/>
    <n v="0.31445497630331748"/>
  </r>
  <r>
    <s v="BZP-002"/>
    <d v="2025-11-30T00:00:00"/>
    <x v="1"/>
    <n v="1"/>
    <n v="39.99"/>
    <n v="39.99"/>
    <n v="7.71"/>
    <n v="1.5"/>
    <n v="1"/>
    <n v="10.210000000000001"/>
    <n v="5.9984999999999999"/>
    <n v="7.33"/>
    <n v="0.1"/>
    <n v="13.4285"/>
    <n v="23.638500000000001"/>
    <n v="16.351500000000001"/>
    <n v="0.40888972243060767"/>
  </r>
  <r>
    <s v="BZP-003"/>
    <d v="2025-12-01T00:00:00"/>
    <x v="0"/>
    <n v="1"/>
    <n v="18.989999999999998"/>
    <n v="18.989999999999998"/>
    <n v="3.75"/>
    <n v="1.1200000000000001"/>
    <n v="1"/>
    <n v="5.87"/>
    <n v="2.8484999999999996"/>
    <n v="4.2"/>
    <n v="0.1"/>
    <n v="7.1484999999999994"/>
    <n v="13.0185"/>
    <n v="5.9714999999999989"/>
    <n v="0.31445497630331748"/>
  </r>
  <r>
    <s v="BZP-004"/>
    <d v="2025-12-02T00:00:00"/>
    <x v="0"/>
    <n v="1"/>
    <n v="18.989999999999998"/>
    <n v="18.989999999999998"/>
    <n v="3.75"/>
    <n v="1.1200000000000001"/>
    <n v="1"/>
    <n v="5.87"/>
    <n v="2.8484999999999996"/>
    <n v="4.2"/>
    <n v="0.1"/>
    <n v="7.1484999999999994"/>
    <n v="13.0185"/>
    <n v="5.9714999999999989"/>
    <n v="0.31445497630331748"/>
  </r>
  <r>
    <s v="BZP-005"/>
    <d v="2025-12-03T00:00:00"/>
    <x v="0"/>
    <n v="1"/>
    <n v="18.989999999999998"/>
    <n v="18.989999999999998"/>
    <n v="3.75"/>
    <n v="1.1200000000000001"/>
    <n v="1"/>
    <n v="5.87"/>
    <n v="2.8484999999999996"/>
    <n v="4.2"/>
    <n v="0.1"/>
    <n v="7.1484999999999994"/>
    <n v="13.0185"/>
    <n v="5.9714999999999989"/>
    <n v="0.31445497630331748"/>
  </r>
  <r>
    <s v="BZP-006"/>
    <d v="2025-12-04T00:00:00"/>
    <x v="0"/>
    <n v="1"/>
    <n v="18.989999999999998"/>
    <n v="18.989999999999998"/>
    <n v="3.75"/>
    <n v="1.1200000000000001"/>
    <n v="1"/>
    <n v="5.87"/>
    <n v="2.8484999999999996"/>
    <n v="4.2"/>
    <n v="0.1"/>
    <n v="7.1484999999999994"/>
    <n v="13.0185"/>
    <n v="5.9714999999999989"/>
    <n v="0.31445497630331748"/>
  </r>
  <r>
    <s v="BZP-007"/>
    <d v="2025-12-05T00:00:00"/>
    <x v="0"/>
    <n v="1"/>
    <n v="18.989999999999998"/>
    <n v="18.989999999999998"/>
    <n v="3.75"/>
    <n v="1.1200000000000001"/>
    <n v="1"/>
    <n v="5.87"/>
    <n v="2.8484999999999996"/>
    <n v="4.2"/>
    <n v="0.1"/>
    <n v="7.1484999999999994"/>
    <n v="13.0185"/>
    <n v="5.9714999999999989"/>
    <n v="0.31445497630331748"/>
  </r>
  <r>
    <s v="BZP-008"/>
    <d v="2025-12-06T00:00:00"/>
    <x v="0"/>
    <n v="1"/>
    <n v="18.989999999999998"/>
    <n v="18.989999999999998"/>
    <n v="3.75"/>
    <n v="1.1200000000000001"/>
    <n v="1"/>
    <n v="5.87"/>
    <n v="2.8484999999999996"/>
    <n v="4.2"/>
    <n v="0.1"/>
    <n v="7.1484999999999994"/>
    <n v="13.0185"/>
    <n v="5.9714999999999989"/>
    <n v="0.31445497630331748"/>
  </r>
  <r>
    <s v="BZP-009"/>
    <d v="2025-12-07T00:00:00"/>
    <x v="0"/>
    <n v="1"/>
    <n v="18.989999999999998"/>
    <n v="18.989999999999998"/>
    <n v="3.75"/>
    <n v="1.1200000000000001"/>
    <n v="1"/>
    <n v="5.87"/>
    <n v="2.8484999999999996"/>
    <n v="4.2"/>
    <n v="0.1"/>
    <n v="7.1484999999999994"/>
    <n v="13.0185"/>
    <n v="5.9714999999999989"/>
    <n v="0.31445497630331748"/>
  </r>
  <r>
    <s v="BZP-010"/>
    <d v="2025-12-08T00:00:00"/>
    <x v="0"/>
    <n v="1"/>
    <n v="18.989999999999998"/>
    <n v="18.989999999999998"/>
    <n v="3.75"/>
    <n v="1.1200000000000001"/>
    <n v="1"/>
    <n v="5.87"/>
    <n v="2.8484999999999996"/>
    <n v="4.2"/>
    <n v="0.1"/>
    <n v="7.1484999999999994"/>
    <n v="13.0185"/>
    <n v="5.9714999999999989"/>
    <n v="0.31445497630331748"/>
  </r>
  <r>
    <s v="BZP-011"/>
    <d v="2025-12-09T00:00:00"/>
    <x v="0"/>
    <n v="1"/>
    <n v="18.989999999999998"/>
    <n v="18.989999999999998"/>
    <n v="3.75"/>
    <n v="1.1200000000000001"/>
    <n v="1"/>
    <n v="5.87"/>
    <n v="2.8484999999999996"/>
    <n v="4.2"/>
    <n v="0.1"/>
    <n v="7.1484999999999994"/>
    <n v="13.0185"/>
    <n v="5.9714999999999989"/>
    <n v="0.31445497630331748"/>
  </r>
  <r>
    <s v="BZP-012"/>
    <d v="2025-12-10T00:00:00"/>
    <x v="0"/>
    <n v="1"/>
    <n v="18.989999999999998"/>
    <n v="18.989999999999998"/>
    <n v="3.75"/>
    <n v="1.1200000000000001"/>
    <n v="1"/>
    <n v="5.87"/>
    <n v="2.8484999999999996"/>
    <n v="4.2"/>
    <n v="0.1"/>
    <n v="7.1484999999999994"/>
    <n v="13.0185"/>
    <n v="5.9714999999999989"/>
    <n v="0.31445497630331748"/>
  </r>
  <r>
    <s v="BZP-013"/>
    <d v="2025-12-11T00:00:00"/>
    <x v="1"/>
    <n v="1"/>
    <n v="39.99"/>
    <n v="39.99"/>
    <n v="7.71"/>
    <n v="1.5"/>
    <n v="1"/>
    <n v="10.210000000000001"/>
    <n v="5.9984999999999999"/>
    <n v="7.33"/>
    <n v="0.1"/>
    <n v="13.4285"/>
    <n v="23.638500000000001"/>
    <n v="16.351500000000001"/>
    <n v="0.40888972243060767"/>
  </r>
  <r>
    <s v="BZP-014"/>
    <d v="2025-12-12T00:00:00"/>
    <x v="1"/>
    <n v="1"/>
    <n v="39.99"/>
    <n v="39.99"/>
    <n v="7.71"/>
    <n v="1.5"/>
    <n v="1"/>
    <n v="10.210000000000001"/>
    <n v="5.9984999999999999"/>
    <n v="7.33"/>
    <n v="0.1"/>
    <n v="13.4285"/>
    <n v="23.638500000000001"/>
    <n v="16.351500000000001"/>
    <n v="0.40888972243060767"/>
  </r>
  <r>
    <s v="BZP-015"/>
    <d v="2025-12-13T00:00:00"/>
    <x v="1"/>
    <n v="2"/>
    <n v="39.99"/>
    <n v="79.98"/>
    <n v="7.71"/>
    <n v="1.5"/>
    <n v="1"/>
    <n v="10.210000000000001"/>
    <n v="5.9984999999999999"/>
    <n v="7.33"/>
    <n v="0.1"/>
    <n v="13.4285"/>
    <n v="23.638500000000001"/>
    <n v="56.341500000000003"/>
    <n v="0.70444486121530381"/>
  </r>
  <r>
    <s v="BZP-016"/>
    <d v="2025-12-14T00:00:00"/>
    <x v="1"/>
    <n v="1"/>
    <n v="39.99"/>
    <n v="39.99"/>
    <n v="7.71"/>
    <n v="1.5"/>
    <n v="1"/>
    <n v="10.210000000000001"/>
    <n v="5.9984999999999999"/>
    <n v="7.33"/>
    <n v="0.1"/>
    <n v="13.4285"/>
    <n v="23.638500000000001"/>
    <n v="16.351500000000001"/>
    <n v="0.40888972243060767"/>
  </r>
  <r>
    <s v="BZP-017"/>
    <d v="2025-12-15T00:00:00"/>
    <x v="0"/>
    <n v="1"/>
    <n v="18.989999999999998"/>
    <n v="18.989999999999998"/>
    <n v="3.75"/>
    <n v="1.1200000000000001"/>
    <n v="1"/>
    <n v="5.87"/>
    <n v="2.8484999999999996"/>
    <n v="4.2"/>
    <n v="0.1"/>
    <n v="7.1484999999999994"/>
    <n v="13.0185"/>
    <n v="5.9714999999999989"/>
    <n v="0.31445497630331748"/>
  </r>
  <r>
    <s v="BZP-018"/>
    <d v="2025-12-16T00:00:00"/>
    <x v="1"/>
    <n v="1"/>
    <n v="39.99"/>
    <n v="39.99"/>
    <n v="7.71"/>
    <n v="1.5"/>
    <n v="1"/>
    <n v="10.210000000000001"/>
    <n v="5.9984999999999999"/>
    <n v="7.33"/>
    <n v="0.1"/>
    <n v="13.4285"/>
    <n v="23.638500000000001"/>
    <n v="16.351500000000001"/>
    <n v="0.40888972243060767"/>
  </r>
  <r>
    <s v="BZP-019"/>
    <d v="2025-12-17T00:00:00"/>
    <x v="1"/>
    <n v="1"/>
    <n v="39.99"/>
    <n v="39.99"/>
    <n v="7.71"/>
    <n v="1.5"/>
    <n v="1"/>
    <n v="10.210000000000001"/>
    <n v="5.9984999999999999"/>
    <n v="7.33"/>
    <n v="0.1"/>
    <n v="13.4285"/>
    <n v="23.638500000000001"/>
    <n v="16.351500000000001"/>
    <n v="0.40888972243060767"/>
  </r>
  <r>
    <s v="BZP-020"/>
    <d v="2025-12-18T00:00:00"/>
    <x v="1"/>
    <n v="1"/>
    <n v="39.99"/>
    <n v="39.99"/>
    <n v="7.71"/>
    <n v="1.5"/>
    <n v="1"/>
    <n v="10.210000000000001"/>
    <n v="5.9984999999999999"/>
    <n v="7.33"/>
    <n v="0.1"/>
    <n v="13.4285"/>
    <n v="23.638500000000001"/>
    <n v="16.351500000000001"/>
    <n v="0.40888972243060767"/>
  </r>
  <r>
    <s v="BZP-021"/>
    <d v="2025-12-19T00:00:00"/>
    <x v="1"/>
    <n v="1"/>
    <n v="39.99"/>
    <n v="39.99"/>
    <n v="7.71"/>
    <n v="1.5"/>
    <n v="1"/>
    <n v="10.210000000000001"/>
    <n v="5.9984999999999999"/>
    <n v="7.33"/>
    <n v="0.1"/>
    <n v="13.4285"/>
    <n v="23.638500000000001"/>
    <n v="16.351500000000001"/>
    <n v="0.40888972243060767"/>
  </r>
  <r>
    <s v="BZP-022"/>
    <d v="2025-12-20T00:00:00"/>
    <x v="1"/>
    <n v="1"/>
    <n v="39.99"/>
    <n v="39.99"/>
    <n v="7.71"/>
    <n v="1.5"/>
    <n v="1"/>
    <n v="10.210000000000001"/>
    <n v="5.9984999999999999"/>
    <n v="7.33"/>
    <n v="0.1"/>
    <n v="13.4285"/>
    <n v="23.638500000000001"/>
    <n v="16.351500000000001"/>
    <n v="0.40888972243060767"/>
  </r>
  <r>
    <s v="BZP-023"/>
    <d v="2025-12-21T00:00:00"/>
    <x v="1"/>
    <n v="1"/>
    <n v="39.99"/>
    <n v="39.99"/>
    <n v="7.71"/>
    <n v="1.5"/>
    <n v="1"/>
    <n v="10.210000000000001"/>
    <n v="5.9984999999999999"/>
    <n v="7.33"/>
    <n v="0.1"/>
    <n v="13.4285"/>
    <n v="23.638500000000001"/>
    <n v="16.351500000000001"/>
    <n v="0.40888972243060767"/>
  </r>
  <r>
    <s v="BZP-024"/>
    <d v="2025-12-22T00:00:00"/>
    <x v="0"/>
    <n v="1"/>
    <n v="18.989999999999998"/>
    <n v="18.989999999999998"/>
    <n v="3.75"/>
    <n v="1.1200000000000001"/>
    <n v="1"/>
    <n v="5.87"/>
    <n v="2.8484999999999996"/>
    <n v="4.2"/>
    <n v="0.1"/>
    <n v="7.1484999999999994"/>
    <n v="13.0185"/>
    <n v="5.9714999999999989"/>
    <n v="0.31445497630331748"/>
  </r>
  <r>
    <s v="BZP-025"/>
    <d v="2025-12-23T00:00:00"/>
    <x v="0"/>
    <n v="1"/>
    <n v="18.989999999999998"/>
    <n v="18.989999999999998"/>
    <n v="3.75"/>
    <n v="1.1200000000000001"/>
    <n v="1"/>
    <n v="5.87"/>
    <n v="2.8484999999999996"/>
    <n v="4.2"/>
    <n v="0.1"/>
    <n v="7.1484999999999994"/>
    <n v="13.0185"/>
    <n v="5.9714999999999989"/>
    <n v="0.31445497630331748"/>
  </r>
  <r>
    <s v="BZP-026"/>
    <d v="2025-12-24T00:00:00"/>
    <x v="0"/>
    <n v="1"/>
    <n v="18.989999999999998"/>
    <n v="18.989999999999998"/>
    <n v="3.75"/>
    <n v="1.1200000000000001"/>
    <n v="1"/>
    <n v="5.87"/>
    <n v="2.8484999999999996"/>
    <n v="4.2"/>
    <n v="0.1"/>
    <n v="7.1484999999999994"/>
    <n v="13.0185"/>
    <n v="5.9714999999999989"/>
    <n v="0.31445497630331748"/>
  </r>
  <r>
    <s v="BZP-027"/>
    <d v="2025-12-25T00:00:00"/>
    <x v="1"/>
    <n v="1"/>
    <n v="39.99"/>
    <n v="39.99"/>
    <n v="7.71"/>
    <n v="1.5"/>
    <n v="1"/>
    <n v="10.210000000000001"/>
    <n v="5.9984999999999999"/>
    <n v="7.33"/>
    <n v="0.1"/>
    <n v="13.4285"/>
    <n v="23.638500000000001"/>
    <n v="16.351500000000001"/>
    <n v="0.40888972243060767"/>
  </r>
  <r>
    <s v="BZP-028"/>
    <d v="2025-12-26T00:00:00"/>
    <x v="1"/>
    <n v="1"/>
    <n v="39.99"/>
    <n v="39.99"/>
    <n v="7.71"/>
    <n v="1.5"/>
    <n v="1"/>
    <n v="10.210000000000001"/>
    <n v="5.9984999999999999"/>
    <n v="7.33"/>
    <n v="0.1"/>
    <n v="13.4285"/>
    <n v="23.638500000000001"/>
    <n v="16.351500000000001"/>
    <n v="0.40888972243060767"/>
  </r>
  <r>
    <s v="BZP-029"/>
    <d v="2025-12-27T00:00:00"/>
    <x v="1"/>
    <n v="1"/>
    <n v="39.99"/>
    <n v="39.99"/>
    <n v="7.71"/>
    <n v="1.5"/>
    <n v="1"/>
    <n v="10.210000000000001"/>
    <n v="5.9984999999999999"/>
    <n v="7.33"/>
    <n v="0.1"/>
    <n v="13.4285"/>
    <n v="23.638500000000001"/>
    <n v="16.351500000000001"/>
    <n v="0.408889722430607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11806-B99B-424D-BEFD-B2672DE45B3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" firstHeaderRow="0" firstDataRow="1" firstDataCol="1"/>
  <pivotFields count="17">
    <pivotField showAll="0"/>
    <pivotField numFmtId="14"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5" baseField="0" baseItem="0"/>
    <dataField name="Sum of total_cost" fld="14" baseField="0" baseItem="0"/>
    <dataField name="Sum of net_profit" fld="15" baseField="0" baseItem="0"/>
    <dataField name="Average of profit_margin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8671D4-48F9-7245-8D19-99C876343408}" name="tbl_processed" displayName="tbl_processed" ref="A1:Q30" totalsRowShown="0" headerRowDxfId="0">
  <autoFilter ref="A1:Q30" xr:uid="{0D8671D4-48F9-7245-8D19-99C876343408}"/>
  <tableColumns count="17">
    <tableColumn id="1" xr3:uid="{4477DAC8-15A1-C740-B2ED-1A9E8EF08C30}" name="order_id" dataDxfId="2"/>
    <tableColumn id="2" xr3:uid="{8E1847F6-5A25-514C-BB1C-C26E39A2F187}" name="date" dataDxfId="1"/>
    <tableColumn id="3" xr3:uid="{6544E7E0-CBEF-9840-B006-DA33505C840A}" name="sku "/>
    <tableColumn id="4" xr3:uid="{E53CA775-34EF-CF40-956F-0CCA29DD3A27}" name="units "/>
    <tableColumn id="5" xr3:uid="{D8374B6B-9660-BC4C-89EC-DD78B91C3F39}" name="sale_price"/>
    <tableColumn id="6" xr3:uid="{55F6B3FE-3467-7C4B-A9BF-C855CE48D065}" name="revenue">
      <calculatedColumnFormula>D2*E2</calculatedColumnFormula>
    </tableColumn>
    <tableColumn id="7" xr3:uid="{CD3EF8CF-2629-A043-9473-08FE6EF098F1}" name="supplier_cost_per_unit">
      <calculatedColumnFormula>_xlfn.XLOOKUP(processed_orders!C2, 'product_costs '!$A$2:$A$3, 'product_costs '!$B$2:$B$3)</calculatedColumnFormula>
    </tableColumn>
    <tableColumn id="8" xr3:uid="{27314BFD-FD7A-BC46-AF5E-14A51BC7CB40}" name="shipping_cost_per_unit">
      <calculatedColumnFormula>_xlfn.XLOOKUP(processed_orders!C2, 'product_costs '!$A$2:$A$3, 'product_costs '!$C$2:$C$3)</calculatedColumnFormula>
    </tableColumn>
    <tableColumn id="9" xr3:uid="{D849831F-F216-0943-BD01-B3C9FDC96ABD}" name="packaging_cost_per_unit">
      <calculatedColumnFormula>_xlfn.XLOOKUP(C2, 'product_costs '!$A$2:$A$3, 'product_costs '!$D$2:$D$3)</calculatedColumnFormula>
    </tableColumn>
    <tableColumn id="10" xr3:uid="{EAC5BEB4-D65D-4E47-8712-C88C5EA94D21}" name="landed_unit_cost">
      <calculatedColumnFormula>_xlfn.XLOOKUP(processed_orders!C2, 'product_costs '!$A$2:$A$3, 'product_costs '!$E$2:$E$3)</calculatedColumnFormula>
    </tableColumn>
    <tableColumn id="11" xr3:uid="{F6A25C02-AF04-3D48-8C0F-C3B7330144FA}" name="referral_fee">
      <calculatedColumnFormula>E2*_xlfn.XLOOKUP("Referral Fee", fee_lookup!A:A, fee_lookup!C:C)</calculatedColumnFormula>
    </tableColumn>
    <tableColumn id="12" xr3:uid="{3DD628A2-07F8-BF46-98A3-6F7BA6A78184}" name="fulfillment_fee">
      <calculatedColumnFormula>_xlfn.XLOOKUP(C2, fee_lookup!D:D, fee_lookup!C:C)</calculatedColumnFormula>
    </tableColumn>
    <tableColumn id="13" xr3:uid="{84950953-166D-2043-B318-A5D7E47F0716}" name="storage_fee">
      <calculatedColumnFormula>fee_lookup!$C$5</calculatedColumnFormula>
    </tableColumn>
    <tableColumn id="14" xr3:uid="{1D98AF04-092C-F443-8740-D68C45919901}" name="amazon_fee_total">
      <calculatedColumnFormula>K2+L2+M2</calculatedColumnFormula>
    </tableColumn>
    <tableColumn id="15" xr3:uid="{2B41FB7F-841E-0143-AAB6-EC272230FDFA}" name="total_cost">
      <calculatedColumnFormula>J2+N2</calculatedColumnFormula>
    </tableColumn>
    <tableColumn id="16" xr3:uid="{33FACF15-9219-974B-93A5-A003107A0517}" name="net_profit">
      <calculatedColumnFormula>F2-O2</calculatedColumnFormula>
    </tableColumn>
    <tableColumn id="17" xr3:uid="{BBA25B1D-1F01-444D-8D96-1AC7F6104BF6}" name="profit_margin">
      <calculatedColumnFormula>P2/F2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ED89-E9C1-1C44-B30C-AF6B751B0ABD}">
  <dimension ref="A1:H30"/>
  <sheetViews>
    <sheetView tabSelected="1" workbookViewId="0">
      <selection activeCell="I33" sqref="I33"/>
    </sheetView>
  </sheetViews>
  <sheetFormatPr baseColWidth="10" defaultRowHeight="16" x14ac:dyDescent="0.2"/>
  <cols>
    <col min="6" max="6" width="19.1640625" customWidth="1"/>
    <col min="8" max="9" width="17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  <c r="G1" s="1"/>
      <c r="H1" s="1" t="s">
        <v>80</v>
      </c>
    </row>
    <row r="2" spans="1:8" x14ac:dyDescent="0.2">
      <c r="A2" s="2" t="s">
        <v>13</v>
      </c>
      <c r="B2" s="2">
        <v>45990</v>
      </c>
      <c r="C2" t="s">
        <v>39</v>
      </c>
      <c r="D2">
        <v>1</v>
      </c>
      <c r="E2">
        <v>18.989999999999998</v>
      </c>
      <c r="F2">
        <v>10.39</v>
      </c>
      <c r="H2">
        <f>D2*E2</f>
        <v>18.989999999999998</v>
      </c>
    </row>
    <row r="3" spans="1:8" x14ac:dyDescent="0.2">
      <c r="A3" s="2" t="s">
        <v>31</v>
      </c>
      <c r="B3" s="2">
        <v>45991</v>
      </c>
      <c r="C3" t="s">
        <v>40</v>
      </c>
      <c r="D3">
        <v>1</v>
      </c>
      <c r="E3">
        <v>39.99</v>
      </c>
      <c r="F3">
        <v>14.71</v>
      </c>
      <c r="H3">
        <f t="shared" ref="G3:H30" si="0">D3*E3</f>
        <v>39.99</v>
      </c>
    </row>
    <row r="4" spans="1:8" x14ac:dyDescent="0.2">
      <c r="A4" s="2" t="s">
        <v>14</v>
      </c>
      <c r="B4" s="2">
        <v>45992</v>
      </c>
      <c r="C4" t="s">
        <v>39</v>
      </c>
      <c r="D4">
        <v>1</v>
      </c>
      <c r="E4">
        <v>18.989999999999998</v>
      </c>
      <c r="F4">
        <v>10.39</v>
      </c>
      <c r="H4">
        <f t="shared" si="0"/>
        <v>18.989999999999998</v>
      </c>
    </row>
    <row r="5" spans="1:8" x14ac:dyDescent="0.2">
      <c r="A5" s="2" t="s">
        <v>15</v>
      </c>
      <c r="B5" s="2">
        <v>45993</v>
      </c>
      <c r="C5" t="s">
        <v>39</v>
      </c>
      <c r="D5">
        <v>1</v>
      </c>
      <c r="E5">
        <v>18.989999999999998</v>
      </c>
      <c r="F5">
        <v>10.39</v>
      </c>
      <c r="H5">
        <f t="shared" si="0"/>
        <v>18.989999999999998</v>
      </c>
    </row>
    <row r="6" spans="1:8" x14ac:dyDescent="0.2">
      <c r="A6" s="2" t="s">
        <v>16</v>
      </c>
      <c r="B6" s="2">
        <v>45994</v>
      </c>
      <c r="C6" t="s">
        <v>39</v>
      </c>
      <c r="D6">
        <v>1</v>
      </c>
      <c r="E6">
        <v>18.989999999999998</v>
      </c>
      <c r="F6">
        <v>10.39</v>
      </c>
      <c r="H6">
        <f t="shared" si="0"/>
        <v>18.989999999999998</v>
      </c>
    </row>
    <row r="7" spans="1:8" x14ac:dyDescent="0.2">
      <c r="A7" s="2" t="s">
        <v>17</v>
      </c>
      <c r="B7" s="2">
        <v>45995</v>
      </c>
      <c r="C7" t="s">
        <v>39</v>
      </c>
      <c r="D7">
        <v>1</v>
      </c>
      <c r="E7">
        <v>18.989999999999998</v>
      </c>
      <c r="F7">
        <v>10.39</v>
      </c>
      <c r="H7">
        <f t="shared" si="0"/>
        <v>18.989999999999998</v>
      </c>
    </row>
    <row r="8" spans="1:8" x14ac:dyDescent="0.2">
      <c r="A8" s="2" t="s">
        <v>18</v>
      </c>
      <c r="B8" s="2">
        <v>45996</v>
      </c>
      <c r="C8" t="s">
        <v>39</v>
      </c>
      <c r="D8">
        <v>1</v>
      </c>
      <c r="E8">
        <v>18.989999999999998</v>
      </c>
      <c r="F8">
        <v>10.39</v>
      </c>
      <c r="H8">
        <f t="shared" si="0"/>
        <v>18.989999999999998</v>
      </c>
    </row>
    <row r="9" spans="1:8" x14ac:dyDescent="0.2">
      <c r="A9" s="2" t="s">
        <v>19</v>
      </c>
      <c r="B9" s="2">
        <v>45997</v>
      </c>
      <c r="C9" t="s">
        <v>39</v>
      </c>
      <c r="D9">
        <v>1</v>
      </c>
      <c r="E9">
        <v>18.989999999999998</v>
      </c>
      <c r="F9">
        <v>10.39</v>
      </c>
      <c r="H9">
        <f t="shared" si="0"/>
        <v>18.989999999999998</v>
      </c>
    </row>
    <row r="10" spans="1:8" x14ac:dyDescent="0.2">
      <c r="A10" s="2" t="s">
        <v>20</v>
      </c>
      <c r="B10" s="2">
        <v>45998</v>
      </c>
      <c r="C10" t="s">
        <v>39</v>
      </c>
      <c r="D10">
        <v>1</v>
      </c>
      <c r="E10">
        <v>18.989999999999998</v>
      </c>
      <c r="F10">
        <v>10.39</v>
      </c>
      <c r="H10">
        <f t="shared" si="0"/>
        <v>18.989999999999998</v>
      </c>
    </row>
    <row r="11" spans="1:8" x14ac:dyDescent="0.2">
      <c r="A11" s="2" t="s">
        <v>21</v>
      </c>
      <c r="B11" s="2">
        <v>45999</v>
      </c>
      <c r="C11" t="s">
        <v>39</v>
      </c>
      <c r="D11">
        <v>1</v>
      </c>
      <c r="E11">
        <v>18.989999999999998</v>
      </c>
      <c r="F11">
        <v>10.39</v>
      </c>
      <c r="H11">
        <f t="shared" si="0"/>
        <v>18.989999999999998</v>
      </c>
    </row>
    <row r="12" spans="1:8" x14ac:dyDescent="0.2">
      <c r="A12" s="2" t="s">
        <v>22</v>
      </c>
      <c r="B12" s="2">
        <v>46000</v>
      </c>
      <c r="C12" t="s">
        <v>39</v>
      </c>
      <c r="D12">
        <v>1</v>
      </c>
      <c r="E12">
        <v>18.989999999999998</v>
      </c>
      <c r="F12">
        <v>10.39</v>
      </c>
      <c r="H12">
        <f t="shared" si="0"/>
        <v>18.989999999999998</v>
      </c>
    </row>
    <row r="13" spans="1:8" x14ac:dyDescent="0.2">
      <c r="A13" s="2" t="s">
        <v>23</v>
      </c>
      <c r="B13" s="2">
        <v>46001</v>
      </c>
      <c r="C13" t="s">
        <v>39</v>
      </c>
      <c r="D13">
        <v>1</v>
      </c>
      <c r="E13">
        <v>18.989999999999998</v>
      </c>
      <c r="F13">
        <v>10.39</v>
      </c>
      <c r="H13">
        <f t="shared" si="0"/>
        <v>18.989999999999998</v>
      </c>
    </row>
    <row r="14" spans="1:8" x14ac:dyDescent="0.2">
      <c r="A14" s="2" t="s">
        <v>32</v>
      </c>
      <c r="B14" s="2">
        <v>46002</v>
      </c>
      <c r="C14" t="s">
        <v>40</v>
      </c>
      <c r="D14">
        <v>1</v>
      </c>
      <c r="E14">
        <v>39.99</v>
      </c>
      <c r="F14">
        <v>14.71</v>
      </c>
      <c r="H14">
        <f t="shared" si="0"/>
        <v>39.99</v>
      </c>
    </row>
    <row r="15" spans="1:8" x14ac:dyDescent="0.2">
      <c r="A15" s="2" t="s">
        <v>33</v>
      </c>
      <c r="B15" s="2">
        <v>46003</v>
      </c>
      <c r="C15" t="s">
        <v>40</v>
      </c>
      <c r="D15">
        <v>1</v>
      </c>
      <c r="E15">
        <v>39.99</v>
      </c>
      <c r="F15">
        <v>14.71</v>
      </c>
      <c r="H15">
        <f t="shared" si="0"/>
        <v>39.99</v>
      </c>
    </row>
    <row r="16" spans="1:8" x14ac:dyDescent="0.2">
      <c r="A16" s="2" t="s">
        <v>34</v>
      </c>
      <c r="B16" s="2">
        <v>46004</v>
      </c>
      <c r="C16" t="s">
        <v>40</v>
      </c>
      <c r="D16">
        <v>2</v>
      </c>
      <c r="E16">
        <v>39.99</v>
      </c>
      <c r="F16">
        <v>14.71</v>
      </c>
      <c r="H16">
        <f t="shared" si="0"/>
        <v>79.98</v>
      </c>
    </row>
    <row r="17" spans="1:8" x14ac:dyDescent="0.2">
      <c r="A17" s="2" t="s">
        <v>35</v>
      </c>
      <c r="B17" s="2">
        <v>46005</v>
      </c>
      <c r="C17" t="s">
        <v>40</v>
      </c>
      <c r="D17">
        <v>1</v>
      </c>
      <c r="E17">
        <v>39.99</v>
      </c>
      <c r="F17">
        <v>14.71</v>
      </c>
      <c r="H17">
        <f t="shared" si="0"/>
        <v>39.99</v>
      </c>
    </row>
    <row r="18" spans="1:8" x14ac:dyDescent="0.2">
      <c r="A18" s="2" t="s">
        <v>24</v>
      </c>
      <c r="B18" s="2">
        <v>46006</v>
      </c>
      <c r="C18" t="s">
        <v>39</v>
      </c>
      <c r="D18">
        <v>1</v>
      </c>
      <c r="E18">
        <v>18.989999999999998</v>
      </c>
      <c r="F18">
        <v>10.39</v>
      </c>
      <c r="H18">
        <f t="shared" si="0"/>
        <v>18.989999999999998</v>
      </c>
    </row>
    <row r="19" spans="1:8" x14ac:dyDescent="0.2">
      <c r="A19" s="2" t="s">
        <v>36</v>
      </c>
      <c r="B19" s="2">
        <v>46007</v>
      </c>
      <c r="C19" t="s">
        <v>40</v>
      </c>
      <c r="D19">
        <v>1</v>
      </c>
      <c r="E19">
        <v>39.99</v>
      </c>
      <c r="F19">
        <v>14.71</v>
      </c>
      <c r="H19">
        <f t="shared" si="0"/>
        <v>39.99</v>
      </c>
    </row>
    <row r="20" spans="1:8" x14ac:dyDescent="0.2">
      <c r="A20" s="2" t="s">
        <v>37</v>
      </c>
      <c r="B20" s="2">
        <v>46008</v>
      </c>
      <c r="C20" t="s">
        <v>40</v>
      </c>
      <c r="D20">
        <v>1</v>
      </c>
      <c r="E20">
        <v>39.99</v>
      </c>
      <c r="F20">
        <v>14.71</v>
      </c>
      <c r="H20">
        <f t="shared" si="0"/>
        <v>39.99</v>
      </c>
    </row>
    <row r="21" spans="1:8" x14ac:dyDescent="0.2">
      <c r="A21" s="2" t="s">
        <v>38</v>
      </c>
      <c r="B21" s="2">
        <v>46009</v>
      </c>
      <c r="C21" t="s">
        <v>40</v>
      </c>
      <c r="D21">
        <v>1</v>
      </c>
      <c r="E21">
        <v>39.99</v>
      </c>
      <c r="F21">
        <v>14.71</v>
      </c>
      <c r="H21">
        <f t="shared" si="0"/>
        <v>39.99</v>
      </c>
    </row>
    <row r="22" spans="1:8" x14ac:dyDescent="0.2">
      <c r="A22" s="2" t="s">
        <v>11</v>
      </c>
      <c r="B22" s="2">
        <v>46010</v>
      </c>
      <c r="C22" t="s">
        <v>40</v>
      </c>
      <c r="D22">
        <v>1</v>
      </c>
      <c r="E22">
        <v>39.99</v>
      </c>
      <c r="F22">
        <v>14.71</v>
      </c>
      <c r="H22">
        <f t="shared" si="0"/>
        <v>39.99</v>
      </c>
    </row>
    <row r="23" spans="1:8" x14ac:dyDescent="0.2">
      <c r="A23" s="2" t="s">
        <v>10</v>
      </c>
      <c r="B23" s="2">
        <v>46011</v>
      </c>
      <c r="C23" t="s">
        <v>40</v>
      </c>
      <c r="D23">
        <v>1</v>
      </c>
      <c r="E23">
        <v>39.99</v>
      </c>
      <c r="F23">
        <v>14.71</v>
      </c>
      <c r="H23">
        <f t="shared" si="0"/>
        <v>39.99</v>
      </c>
    </row>
    <row r="24" spans="1:8" x14ac:dyDescent="0.2">
      <c r="A24" s="2" t="s">
        <v>27</v>
      </c>
      <c r="B24" s="2">
        <v>46012</v>
      </c>
      <c r="C24" t="s">
        <v>40</v>
      </c>
      <c r="D24">
        <v>1</v>
      </c>
      <c r="E24">
        <v>39.99</v>
      </c>
      <c r="F24">
        <v>14.71</v>
      </c>
      <c r="H24">
        <f t="shared" si="0"/>
        <v>39.99</v>
      </c>
    </row>
    <row r="25" spans="1:8" x14ac:dyDescent="0.2">
      <c r="A25" s="2" t="s">
        <v>25</v>
      </c>
      <c r="B25" s="2">
        <v>46013</v>
      </c>
      <c r="C25" t="s">
        <v>39</v>
      </c>
      <c r="D25">
        <v>1</v>
      </c>
      <c r="E25">
        <v>18.989999999999998</v>
      </c>
      <c r="F25">
        <v>10.39</v>
      </c>
      <c r="H25">
        <f t="shared" si="0"/>
        <v>18.989999999999998</v>
      </c>
    </row>
    <row r="26" spans="1:8" x14ac:dyDescent="0.2">
      <c r="A26" s="2" t="s">
        <v>26</v>
      </c>
      <c r="B26" s="2">
        <v>46014</v>
      </c>
      <c r="C26" t="s">
        <v>39</v>
      </c>
      <c r="D26">
        <v>1</v>
      </c>
      <c r="E26">
        <v>18.989999999999998</v>
      </c>
      <c r="F26">
        <v>10.39</v>
      </c>
      <c r="H26">
        <f t="shared" si="0"/>
        <v>18.989999999999998</v>
      </c>
    </row>
    <row r="27" spans="1:8" x14ac:dyDescent="0.2">
      <c r="A27" s="2" t="s">
        <v>12</v>
      </c>
      <c r="B27" s="2">
        <v>46015</v>
      </c>
      <c r="C27" t="s">
        <v>39</v>
      </c>
      <c r="D27">
        <v>1</v>
      </c>
      <c r="E27">
        <v>18.989999999999998</v>
      </c>
      <c r="F27">
        <v>10.39</v>
      </c>
      <c r="H27">
        <f t="shared" si="0"/>
        <v>18.989999999999998</v>
      </c>
    </row>
    <row r="28" spans="1:8" x14ac:dyDescent="0.2">
      <c r="A28" s="2" t="s">
        <v>28</v>
      </c>
      <c r="B28" s="2">
        <v>46016</v>
      </c>
      <c r="C28" t="s">
        <v>40</v>
      </c>
      <c r="D28">
        <v>1</v>
      </c>
      <c r="E28">
        <v>39.99</v>
      </c>
      <c r="F28">
        <v>14.71</v>
      </c>
      <c r="H28">
        <f t="shared" si="0"/>
        <v>39.99</v>
      </c>
    </row>
    <row r="29" spans="1:8" x14ac:dyDescent="0.2">
      <c r="A29" s="2" t="s">
        <v>29</v>
      </c>
      <c r="B29" s="2">
        <v>46017</v>
      </c>
      <c r="C29" t="s">
        <v>40</v>
      </c>
      <c r="D29">
        <v>1</v>
      </c>
      <c r="E29">
        <v>39.99</v>
      </c>
      <c r="F29">
        <v>14.71</v>
      </c>
      <c r="H29">
        <f t="shared" si="0"/>
        <v>39.99</v>
      </c>
    </row>
    <row r="30" spans="1:8" x14ac:dyDescent="0.2">
      <c r="A30" s="2" t="s">
        <v>30</v>
      </c>
      <c r="B30" s="2">
        <v>46018</v>
      </c>
      <c r="C30" t="s">
        <v>40</v>
      </c>
      <c r="D30">
        <v>1</v>
      </c>
      <c r="E30">
        <v>39.99</v>
      </c>
      <c r="F30">
        <v>14.71</v>
      </c>
      <c r="H30">
        <f t="shared" si="0"/>
        <v>39.99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E53E-3786-8A4F-8983-E3E7248A1562}">
  <dimension ref="A1:F3"/>
  <sheetViews>
    <sheetView zoomScale="125" workbookViewId="0">
      <selection activeCell="E2" sqref="E2"/>
    </sheetView>
  </sheetViews>
  <sheetFormatPr baseColWidth="10" defaultRowHeight="16" x14ac:dyDescent="0.2"/>
  <sheetData>
    <row r="1" spans="1:6" x14ac:dyDescent="0.2">
      <c r="A1" s="1" t="s">
        <v>2</v>
      </c>
      <c r="B1" s="1" t="s">
        <v>6</v>
      </c>
      <c r="C1" s="1" t="s">
        <v>7</v>
      </c>
      <c r="D1" s="1" t="s">
        <v>8</v>
      </c>
      <c r="E1" s="1" t="s">
        <v>9</v>
      </c>
      <c r="F1" s="1"/>
    </row>
    <row r="2" spans="1:6" x14ac:dyDescent="0.2">
      <c r="A2" t="s">
        <v>39</v>
      </c>
      <c r="B2">
        <v>3.75</v>
      </c>
      <c r="C2">
        <v>1.1200000000000001</v>
      </c>
      <c r="D2">
        <v>1</v>
      </c>
      <c r="E2">
        <v>5.87</v>
      </c>
      <c r="F2">
        <f>LEN(A2)</f>
        <v>8</v>
      </c>
    </row>
    <row r="3" spans="1:6" x14ac:dyDescent="0.2">
      <c r="A3" t="s">
        <v>40</v>
      </c>
      <c r="B3">
        <v>7.71</v>
      </c>
      <c r="C3">
        <v>1.5</v>
      </c>
      <c r="D3">
        <v>1</v>
      </c>
      <c r="E3">
        <v>10.210000000000001</v>
      </c>
      <c r="F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3CC0-6C49-B14A-B601-A2D97E637F6C}">
  <dimension ref="A1:E5"/>
  <sheetViews>
    <sheetView workbookViewId="0">
      <selection activeCell="F30" sqref="F30"/>
    </sheetView>
  </sheetViews>
  <sheetFormatPr baseColWidth="10" defaultRowHeight="16" x14ac:dyDescent="0.2"/>
  <sheetData>
    <row r="1" spans="1:5" x14ac:dyDescent="0.2">
      <c r="A1" s="1" t="s">
        <v>42</v>
      </c>
      <c r="B1" s="1" t="s">
        <v>43</v>
      </c>
      <c r="C1" s="1" t="s">
        <v>45</v>
      </c>
      <c r="D1" s="1" t="s">
        <v>44</v>
      </c>
      <c r="E1" s="1" t="s">
        <v>46</v>
      </c>
    </row>
    <row r="2" spans="1:5" x14ac:dyDescent="0.2">
      <c r="A2" t="s">
        <v>5</v>
      </c>
      <c r="B2" t="s">
        <v>47</v>
      </c>
      <c r="C2">
        <v>0.15</v>
      </c>
      <c r="D2" t="s">
        <v>50</v>
      </c>
      <c r="E2" t="s">
        <v>51</v>
      </c>
    </row>
    <row r="3" spans="1:5" x14ac:dyDescent="0.2">
      <c r="A3" t="s">
        <v>52</v>
      </c>
      <c r="B3" t="s">
        <v>48</v>
      </c>
      <c r="C3">
        <v>4.2</v>
      </c>
      <c r="D3" t="s">
        <v>39</v>
      </c>
      <c r="E3" t="s">
        <v>53</v>
      </c>
    </row>
    <row r="4" spans="1:5" x14ac:dyDescent="0.2">
      <c r="A4" t="s">
        <v>52</v>
      </c>
      <c r="B4" t="s">
        <v>48</v>
      </c>
      <c r="C4">
        <v>7.33</v>
      </c>
      <c r="D4" t="s">
        <v>40</v>
      </c>
      <c r="E4" t="s">
        <v>54</v>
      </c>
    </row>
    <row r="5" spans="1:5" x14ac:dyDescent="0.2">
      <c r="A5" t="s">
        <v>55</v>
      </c>
      <c r="B5" t="s">
        <v>48</v>
      </c>
      <c r="C5">
        <v>0.1</v>
      </c>
      <c r="D5" t="s">
        <v>49</v>
      </c>
      <c r="E5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C046-C9DF-D145-A3A1-2AFEC0D633E1}">
  <dimension ref="A1:R30"/>
  <sheetViews>
    <sheetView topLeftCell="M1" workbookViewId="0">
      <selection activeCell="A2" sqref="A2"/>
    </sheetView>
  </sheetViews>
  <sheetFormatPr baseColWidth="10" defaultRowHeight="16" x14ac:dyDescent="0.2"/>
  <cols>
    <col min="5" max="5" width="12" customWidth="1"/>
    <col min="7" max="7" width="22.1640625" customWidth="1"/>
    <col min="8" max="8" width="22.5" customWidth="1"/>
    <col min="9" max="9" width="24" customWidth="1"/>
    <col min="10" max="10" width="17.5" customWidth="1"/>
    <col min="11" max="11" width="13.1640625" customWidth="1"/>
    <col min="12" max="12" width="15.6640625" customWidth="1"/>
    <col min="13" max="13" width="13.33203125" customWidth="1"/>
    <col min="14" max="14" width="18.1640625" customWidth="1"/>
    <col min="15" max="15" width="11.83203125" customWidth="1"/>
    <col min="16" max="16" width="11.5" customWidth="1"/>
    <col min="17" max="17" width="14.6640625" customWidth="1"/>
  </cols>
  <sheetData>
    <row r="1" spans="1:18" x14ac:dyDescent="0.2">
      <c r="A1" s="1" t="s">
        <v>0</v>
      </c>
      <c r="B1" s="1" t="s">
        <v>1</v>
      </c>
      <c r="C1" s="1" t="s">
        <v>57</v>
      </c>
      <c r="D1" s="1" t="s">
        <v>3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9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/>
    </row>
    <row r="2" spans="1:18" x14ac:dyDescent="0.2">
      <c r="A2" s="2" t="s">
        <v>13</v>
      </c>
      <c r="B2" s="2">
        <v>45990</v>
      </c>
      <c r="C2" t="s">
        <v>39</v>
      </c>
      <c r="D2">
        <v>1</v>
      </c>
      <c r="E2">
        <v>18.989999999999998</v>
      </c>
      <c r="F2">
        <f>D2*E2</f>
        <v>18.989999999999998</v>
      </c>
      <c r="G2">
        <f>_xlfn.XLOOKUP(processed_orders!C2, 'product_costs '!$A$2:$A$3, 'product_costs '!$B$2:$B$3)</f>
        <v>3.75</v>
      </c>
      <c r="H2">
        <f>_xlfn.XLOOKUP(processed_orders!C2, 'product_costs '!$A$2:$A$3, 'product_costs '!$C$2:$C$3)</f>
        <v>1.1200000000000001</v>
      </c>
      <c r="I2">
        <f>_xlfn.XLOOKUP(C2, 'product_costs '!$A$2:$A$3, 'product_costs '!$D$2:$D$3)</f>
        <v>1</v>
      </c>
      <c r="J2">
        <f>_xlfn.XLOOKUP(processed_orders!C2, 'product_costs '!$A$2:$A$3, 'product_costs '!$E$2:$E$3)</f>
        <v>5.87</v>
      </c>
      <c r="K2">
        <f>E2*_xlfn.XLOOKUP("Referral Fee", fee_lookup!A:A, fee_lookup!C:C)</f>
        <v>2.8484999999999996</v>
      </c>
      <c r="L2">
        <f>_xlfn.XLOOKUP(C2, fee_lookup!D:D, fee_lookup!C:C)</f>
        <v>4.2</v>
      </c>
      <c r="M2">
        <f>fee_lookup!$C$5</f>
        <v>0.1</v>
      </c>
      <c r="N2">
        <f>K2+L2+M2</f>
        <v>7.1484999999999994</v>
      </c>
      <c r="O2">
        <f>J2+N2</f>
        <v>13.0185</v>
      </c>
      <c r="P2">
        <f>F2-O2</f>
        <v>5.9714999999999989</v>
      </c>
      <c r="Q2">
        <f>P2/F2</f>
        <v>0.31445497630331748</v>
      </c>
    </row>
    <row r="3" spans="1:18" x14ac:dyDescent="0.2">
      <c r="A3" s="2" t="s">
        <v>31</v>
      </c>
      <c r="B3" s="2">
        <v>45991</v>
      </c>
      <c r="C3" t="s">
        <v>40</v>
      </c>
      <c r="D3">
        <v>1</v>
      </c>
      <c r="E3">
        <v>39.99</v>
      </c>
      <c r="F3">
        <f t="shared" ref="F3:F30" si="0">D3*E3</f>
        <v>39.99</v>
      </c>
      <c r="G3">
        <f>_xlfn.XLOOKUP(processed_orders!C3, 'product_costs '!$A$2:$A$3, 'product_costs '!$B$2:$B$3)</f>
        <v>7.71</v>
      </c>
      <c r="H3">
        <f>_xlfn.XLOOKUP(processed_orders!C3, 'product_costs '!$A$2:$A$3, 'product_costs '!$C$2:$C$3)</f>
        <v>1.5</v>
      </c>
      <c r="I3">
        <f>_xlfn.XLOOKUP(C3, 'product_costs '!$A$2:$A$3, 'product_costs '!$D$2:$D$3)</f>
        <v>1</v>
      </c>
      <c r="J3">
        <f>_xlfn.XLOOKUP(processed_orders!C3, 'product_costs '!$A$2:$A$3, 'product_costs '!$E$2:$E$3)</f>
        <v>10.210000000000001</v>
      </c>
      <c r="K3">
        <f>E3*_xlfn.XLOOKUP("Referral Fee", fee_lookup!A:A, fee_lookup!C:C)</f>
        <v>5.9984999999999999</v>
      </c>
      <c r="L3">
        <f>_xlfn.XLOOKUP(C3, fee_lookup!D:D, fee_lookup!C:C)</f>
        <v>7.33</v>
      </c>
      <c r="M3">
        <f>fee_lookup!$C$5</f>
        <v>0.1</v>
      </c>
      <c r="N3">
        <f t="shared" ref="N3:N30" si="1">K3+L3+M3</f>
        <v>13.4285</v>
      </c>
      <c r="O3">
        <f t="shared" ref="O3:O30" si="2">J3+N3</f>
        <v>23.638500000000001</v>
      </c>
      <c r="P3">
        <f t="shared" ref="P3:P30" si="3">F3-O3</f>
        <v>16.351500000000001</v>
      </c>
      <c r="Q3">
        <f t="shared" ref="Q3:Q30" si="4">P3/F3</f>
        <v>0.40888972243060767</v>
      </c>
    </row>
    <row r="4" spans="1:18" x14ac:dyDescent="0.2">
      <c r="A4" s="2" t="s">
        <v>14</v>
      </c>
      <c r="B4" s="2">
        <v>45992</v>
      </c>
      <c r="C4" t="s">
        <v>39</v>
      </c>
      <c r="D4">
        <v>1</v>
      </c>
      <c r="E4">
        <v>18.989999999999998</v>
      </c>
      <c r="F4">
        <f t="shared" si="0"/>
        <v>18.989999999999998</v>
      </c>
      <c r="G4">
        <f>_xlfn.XLOOKUP(processed_orders!C4, 'product_costs '!$A$2:$A$3, 'product_costs '!$B$2:$B$3)</f>
        <v>3.75</v>
      </c>
      <c r="H4">
        <f>_xlfn.XLOOKUP(processed_orders!C4, 'product_costs '!$A$2:$A$3, 'product_costs '!$C$2:$C$3)</f>
        <v>1.1200000000000001</v>
      </c>
      <c r="I4">
        <f>_xlfn.XLOOKUP(C4, 'product_costs '!$A$2:$A$3, 'product_costs '!$D$2:$D$3)</f>
        <v>1</v>
      </c>
      <c r="J4">
        <f>_xlfn.XLOOKUP(processed_orders!C4, 'product_costs '!$A$2:$A$3, 'product_costs '!$E$2:$E$3)</f>
        <v>5.87</v>
      </c>
      <c r="K4">
        <f>E4*_xlfn.XLOOKUP("Referral Fee", fee_lookup!A:A, fee_lookup!C:C)</f>
        <v>2.8484999999999996</v>
      </c>
      <c r="L4">
        <f>_xlfn.XLOOKUP(C4, fee_lookup!D:D, fee_lookup!C:C)</f>
        <v>4.2</v>
      </c>
      <c r="M4">
        <f>fee_lookup!$C$5</f>
        <v>0.1</v>
      </c>
      <c r="N4">
        <f t="shared" si="1"/>
        <v>7.1484999999999994</v>
      </c>
      <c r="O4">
        <f t="shared" si="2"/>
        <v>13.0185</v>
      </c>
      <c r="P4">
        <f t="shared" si="3"/>
        <v>5.9714999999999989</v>
      </c>
      <c r="Q4">
        <f t="shared" si="4"/>
        <v>0.31445497630331748</v>
      </c>
    </row>
    <row r="5" spans="1:18" x14ac:dyDescent="0.2">
      <c r="A5" s="2" t="s">
        <v>15</v>
      </c>
      <c r="B5" s="2">
        <v>45993</v>
      </c>
      <c r="C5" t="s">
        <v>39</v>
      </c>
      <c r="D5">
        <v>1</v>
      </c>
      <c r="E5">
        <v>18.989999999999998</v>
      </c>
      <c r="F5">
        <f t="shared" si="0"/>
        <v>18.989999999999998</v>
      </c>
      <c r="G5">
        <f>_xlfn.XLOOKUP(processed_orders!C5, 'product_costs '!$A$2:$A$3, 'product_costs '!$B$2:$B$3)</f>
        <v>3.75</v>
      </c>
      <c r="H5">
        <f>_xlfn.XLOOKUP(processed_orders!C5, 'product_costs '!$A$2:$A$3, 'product_costs '!$C$2:$C$3)</f>
        <v>1.1200000000000001</v>
      </c>
      <c r="I5">
        <f>_xlfn.XLOOKUP(C5, 'product_costs '!$A$2:$A$3, 'product_costs '!$D$2:$D$3)</f>
        <v>1</v>
      </c>
      <c r="J5">
        <f>_xlfn.XLOOKUP(processed_orders!C5, 'product_costs '!$A$2:$A$3, 'product_costs '!$E$2:$E$3)</f>
        <v>5.87</v>
      </c>
      <c r="K5">
        <f>E5*_xlfn.XLOOKUP("Referral Fee", fee_lookup!A:A, fee_lookup!C:C)</f>
        <v>2.8484999999999996</v>
      </c>
      <c r="L5">
        <f>_xlfn.XLOOKUP(C5, fee_lookup!D:D, fee_lookup!C:C)</f>
        <v>4.2</v>
      </c>
      <c r="M5">
        <f>fee_lookup!$C$5</f>
        <v>0.1</v>
      </c>
      <c r="N5">
        <f t="shared" si="1"/>
        <v>7.1484999999999994</v>
      </c>
      <c r="O5">
        <f t="shared" si="2"/>
        <v>13.0185</v>
      </c>
      <c r="P5">
        <f t="shared" si="3"/>
        <v>5.9714999999999989</v>
      </c>
      <c r="Q5">
        <f t="shared" si="4"/>
        <v>0.31445497630331748</v>
      </c>
    </row>
    <row r="6" spans="1:18" x14ac:dyDescent="0.2">
      <c r="A6" s="2" t="s">
        <v>16</v>
      </c>
      <c r="B6" s="2">
        <v>45994</v>
      </c>
      <c r="C6" t="s">
        <v>39</v>
      </c>
      <c r="D6">
        <v>1</v>
      </c>
      <c r="E6">
        <v>18.989999999999998</v>
      </c>
      <c r="F6">
        <f t="shared" si="0"/>
        <v>18.989999999999998</v>
      </c>
      <c r="G6">
        <f>_xlfn.XLOOKUP(processed_orders!C6, 'product_costs '!$A$2:$A$3, 'product_costs '!$B$2:$B$3)</f>
        <v>3.75</v>
      </c>
      <c r="H6">
        <f>_xlfn.XLOOKUP(processed_orders!C6, 'product_costs '!$A$2:$A$3, 'product_costs '!$C$2:$C$3)</f>
        <v>1.1200000000000001</v>
      </c>
      <c r="I6">
        <f>_xlfn.XLOOKUP(C6, 'product_costs '!$A$2:$A$3, 'product_costs '!$D$2:$D$3)</f>
        <v>1</v>
      </c>
      <c r="J6">
        <f>_xlfn.XLOOKUP(processed_orders!C6, 'product_costs '!$A$2:$A$3, 'product_costs '!$E$2:$E$3)</f>
        <v>5.87</v>
      </c>
      <c r="K6">
        <f>E6*_xlfn.XLOOKUP("Referral Fee", fee_lookup!A:A, fee_lookup!C:C)</f>
        <v>2.8484999999999996</v>
      </c>
      <c r="L6">
        <f>_xlfn.XLOOKUP(C6, fee_lookup!D:D, fee_lookup!C:C)</f>
        <v>4.2</v>
      </c>
      <c r="M6">
        <f>fee_lookup!$C$5</f>
        <v>0.1</v>
      </c>
      <c r="N6">
        <f t="shared" si="1"/>
        <v>7.1484999999999994</v>
      </c>
      <c r="O6">
        <f t="shared" si="2"/>
        <v>13.0185</v>
      </c>
      <c r="P6">
        <f t="shared" si="3"/>
        <v>5.9714999999999989</v>
      </c>
      <c r="Q6">
        <f t="shared" si="4"/>
        <v>0.31445497630331748</v>
      </c>
    </row>
    <row r="7" spans="1:18" x14ac:dyDescent="0.2">
      <c r="A7" s="2" t="s">
        <v>17</v>
      </c>
      <c r="B7" s="2">
        <v>45995</v>
      </c>
      <c r="C7" t="s">
        <v>39</v>
      </c>
      <c r="D7">
        <v>1</v>
      </c>
      <c r="E7">
        <v>18.989999999999998</v>
      </c>
      <c r="F7">
        <f t="shared" si="0"/>
        <v>18.989999999999998</v>
      </c>
      <c r="G7">
        <f>_xlfn.XLOOKUP(processed_orders!C7, 'product_costs '!$A$2:$A$3, 'product_costs '!$B$2:$B$3)</f>
        <v>3.75</v>
      </c>
      <c r="H7">
        <f>_xlfn.XLOOKUP(processed_orders!C7, 'product_costs '!$A$2:$A$3, 'product_costs '!$C$2:$C$3)</f>
        <v>1.1200000000000001</v>
      </c>
      <c r="I7">
        <f>_xlfn.XLOOKUP(C7, 'product_costs '!$A$2:$A$3, 'product_costs '!$D$2:$D$3)</f>
        <v>1</v>
      </c>
      <c r="J7">
        <f>_xlfn.XLOOKUP(processed_orders!C7, 'product_costs '!$A$2:$A$3, 'product_costs '!$E$2:$E$3)</f>
        <v>5.87</v>
      </c>
      <c r="K7">
        <f>E7*_xlfn.XLOOKUP("Referral Fee", fee_lookup!A:A, fee_lookup!C:C)</f>
        <v>2.8484999999999996</v>
      </c>
      <c r="L7">
        <f>_xlfn.XLOOKUP(C7, fee_lookup!D:D, fee_lookup!C:C)</f>
        <v>4.2</v>
      </c>
      <c r="M7">
        <f>fee_lookup!$C$5</f>
        <v>0.1</v>
      </c>
      <c r="N7">
        <f t="shared" si="1"/>
        <v>7.1484999999999994</v>
      </c>
      <c r="O7">
        <f t="shared" si="2"/>
        <v>13.0185</v>
      </c>
      <c r="P7">
        <f t="shared" si="3"/>
        <v>5.9714999999999989</v>
      </c>
      <c r="Q7">
        <f t="shared" si="4"/>
        <v>0.31445497630331748</v>
      </c>
    </row>
    <row r="8" spans="1:18" x14ac:dyDescent="0.2">
      <c r="A8" s="2" t="s">
        <v>18</v>
      </c>
      <c r="B8" s="2">
        <v>45996</v>
      </c>
      <c r="C8" t="s">
        <v>39</v>
      </c>
      <c r="D8">
        <v>1</v>
      </c>
      <c r="E8">
        <v>18.989999999999998</v>
      </c>
      <c r="F8">
        <f t="shared" si="0"/>
        <v>18.989999999999998</v>
      </c>
      <c r="G8">
        <f>_xlfn.XLOOKUP(processed_orders!C8, 'product_costs '!$A$2:$A$3, 'product_costs '!$B$2:$B$3)</f>
        <v>3.75</v>
      </c>
      <c r="H8">
        <f>_xlfn.XLOOKUP(processed_orders!C8, 'product_costs '!$A$2:$A$3, 'product_costs '!$C$2:$C$3)</f>
        <v>1.1200000000000001</v>
      </c>
      <c r="I8">
        <f>_xlfn.XLOOKUP(C8, 'product_costs '!$A$2:$A$3, 'product_costs '!$D$2:$D$3)</f>
        <v>1</v>
      </c>
      <c r="J8">
        <f>_xlfn.XLOOKUP(processed_orders!C8, 'product_costs '!$A$2:$A$3, 'product_costs '!$E$2:$E$3)</f>
        <v>5.87</v>
      </c>
      <c r="K8">
        <f>E8*_xlfn.XLOOKUP("Referral Fee", fee_lookup!A:A, fee_lookup!C:C)</f>
        <v>2.8484999999999996</v>
      </c>
      <c r="L8">
        <f>_xlfn.XLOOKUP(C8, fee_lookup!D:D, fee_lookup!C:C)</f>
        <v>4.2</v>
      </c>
      <c r="M8">
        <f>fee_lookup!$C$5</f>
        <v>0.1</v>
      </c>
      <c r="N8">
        <f t="shared" si="1"/>
        <v>7.1484999999999994</v>
      </c>
      <c r="O8">
        <f t="shared" si="2"/>
        <v>13.0185</v>
      </c>
      <c r="P8">
        <f t="shared" si="3"/>
        <v>5.9714999999999989</v>
      </c>
      <c r="Q8">
        <f t="shared" si="4"/>
        <v>0.31445497630331748</v>
      </c>
    </row>
    <row r="9" spans="1:18" x14ac:dyDescent="0.2">
      <c r="A9" s="2" t="s">
        <v>19</v>
      </c>
      <c r="B9" s="2">
        <v>45997</v>
      </c>
      <c r="C9" t="s">
        <v>39</v>
      </c>
      <c r="D9">
        <v>1</v>
      </c>
      <c r="E9">
        <v>18.989999999999998</v>
      </c>
      <c r="F9">
        <f t="shared" si="0"/>
        <v>18.989999999999998</v>
      </c>
      <c r="G9">
        <f>_xlfn.XLOOKUP(processed_orders!C9, 'product_costs '!$A$2:$A$3, 'product_costs '!$B$2:$B$3)</f>
        <v>3.75</v>
      </c>
      <c r="H9">
        <f>_xlfn.XLOOKUP(processed_orders!C9, 'product_costs '!$A$2:$A$3, 'product_costs '!$C$2:$C$3)</f>
        <v>1.1200000000000001</v>
      </c>
      <c r="I9">
        <f>_xlfn.XLOOKUP(C9, 'product_costs '!$A$2:$A$3, 'product_costs '!$D$2:$D$3)</f>
        <v>1</v>
      </c>
      <c r="J9">
        <f>_xlfn.XLOOKUP(processed_orders!C9, 'product_costs '!$A$2:$A$3, 'product_costs '!$E$2:$E$3)</f>
        <v>5.87</v>
      </c>
      <c r="K9">
        <f>E9*_xlfn.XLOOKUP("Referral Fee", fee_lookup!A:A, fee_lookup!C:C)</f>
        <v>2.8484999999999996</v>
      </c>
      <c r="L9">
        <f>_xlfn.XLOOKUP(C9, fee_lookup!D:D, fee_lookup!C:C)</f>
        <v>4.2</v>
      </c>
      <c r="M9">
        <f>fee_lookup!$C$5</f>
        <v>0.1</v>
      </c>
      <c r="N9">
        <f t="shared" si="1"/>
        <v>7.1484999999999994</v>
      </c>
      <c r="O9">
        <f t="shared" si="2"/>
        <v>13.0185</v>
      </c>
      <c r="P9">
        <f t="shared" si="3"/>
        <v>5.9714999999999989</v>
      </c>
      <c r="Q9">
        <f t="shared" si="4"/>
        <v>0.31445497630331748</v>
      </c>
    </row>
    <row r="10" spans="1:18" x14ac:dyDescent="0.2">
      <c r="A10" s="2" t="s">
        <v>20</v>
      </c>
      <c r="B10" s="2">
        <v>45998</v>
      </c>
      <c r="C10" t="s">
        <v>39</v>
      </c>
      <c r="D10">
        <v>1</v>
      </c>
      <c r="E10">
        <v>18.989999999999998</v>
      </c>
      <c r="F10">
        <f t="shared" si="0"/>
        <v>18.989999999999998</v>
      </c>
      <c r="G10">
        <f>_xlfn.XLOOKUP(processed_orders!C10, 'product_costs '!$A$2:$A$3, 'product_costs '!$B$2:$B$3)</f>
        <v>3.75</v>
      </c>
      <c r="H10">
        <f>_xlfn.XLOOKUP(processed_orders!C10, 'product_costs '!$A$2:$A$3, 'product_costs '!$C$2:$C$3)</f>
        <v>1.1200000000000001</v>
      </c>
      <c r="I10">
        <f>_xlfn.XLOOKUP(C10, 'product_costs '!$A$2:$A$3, 'product_costs '!$D$2:$D$3)</f>
        <v>1</v>
      </c>
      <c r="J10">
        <f>_xlfn.XLOOKUP(processed_orders!C10, 'product_costs '!$A$2:$A$3, 'product_costs '!$E$2:$E$3)</f>
        <v>5.87</v>
      </c>
      <c r="K10">
        <f>E10*_xlfn.XLOOKUP("Referral Fee", fee_lookup!A:A, fee_lookup!C:C)</f>
        <v>2.8484999999999996</v>
      </c>
      <c r="L10">
        <f>_xlfn.XLOOKUP(C10, fee_lookup!D:D, fee_lookup!C:C)</f>
        <v>4.2</v>
      </c>
      <c r="M10">
        <f>fee_lookup!$C$5</f>
        <v>0.1</v>
      </c>
      <c r="N10">
        <f t="shared" si="1"/>
        <v>7.1484999999999994</v>
      </c>
      <c r="O10">
        <f t="shared" si="2"/>
        <v>13.0185</v>
      </c>
      <c r="P10">
        <f t="shared" si="3"/>
        <v>5.9714999999999989</v>
      </c>
      <c r="Q10">
        <f t="shared" si="4"/>
        <v>0.31445497630331748</v>
      </c>
    </row>
    <row r="11" spans="1:18" x14ac:dyDescent="0.2">
      <c r="A11" s="2" t="s">
        <v>21</v>
      </c>
      <c r="B11" s="2">
        <v>45999</v>
      </c>
      <c r="C11" t="s">
        <v>39</v>
      </c>
      <c r="D11">
        <v>1</v>
      </c>
      <c r="E11">
        <v>18.989999999999998</v>
      </c>
      <c r="F11">
        <f t="shared" si="0"/>
        <v>18.989999999999998</v>
      </c>
      <c r="G11">
        <f>_xlfn.XLOOKUP(processed_orders!C11, 'product_costs '!$A$2:$A$3, 'product_costs '!$B$2:$B$3)</f>
        <v>3.75</v>
      </c>
      <c r="H11">
        <f>_xlfn.XLOOKUP(processed_orders!C11, 'product_costs '!$A$2:$A$3, 'product_costs '!$C$2:$C$3)</f>
        <v>1.1200000000000001</v>
      </c>
      <c r="I11">
        <f>_xlfn.XLOOKUP(C11, 'product_costs '!$A$2:$A$3, 'product_costs '!$D$2:$D$3)</f>
        <v>1</v>
      </c>
      <c r="J11">
        <f>_xlfn.XLOOKUP(processed_orders!C11, 'product_costs '!$A$2:$A$3, 'product_costs '!$E$2:$E$3)</f>
        <v>5.87</v>
      </c>
      <c r="K11">
        <f>E11*_xlfn.XLOOKUP("Referral Fee", fee_lookup!A:A, fee_lookup!C:C)</f>
        <v>2.8484999999999996</v>
      </c>
      <c r="L11">
        <f>_xlfn.XLOOKUP(C11, fee_lookup!D:D, fee_lookup!C:C)</f>
        <v>4.2</v>
      </c>
      <c r="M11">
        <f>fee_lookup!$C$5</f>
        <v>0.1</v>
      </c>
      <c r="N11">
        <f t="shared" si="1"/>
        <v>7.1484999999999994</v>
      </c>
      <c r="O11">
        <f t="shared" si="2"/>
        <v>13.0185</v>
      </c>
      <c r="P11">
        <f t="shared" si="3"/>
        <v>5.9714999999999989</v>
      </c>
      <c r="Q11">
        <f t="shared" si="4"/>
        <v>0.31445497630331748</v>
      </c>
    </row>
    <row r="12" spans="1:18" x14ac:dyDescent="0.2">
      <c r="A12" s="2" t="s">
        <v>22</v>
      </c>
      <c r="B12" s="2">
        <v>46000</v>
      </c>
      <c r="C12" t="s">
        <v>39</v>
      </c>
      <c r="D12">
        <v>1</v>
      </c>
      <c r="E12">
        <v>18.989999999999998</v>
      </c>
      <c r="F12">
        <f t="shared" si="0"/>
        <v>18.989999999999998</v>
      </c>
      <c r="G12">
        <f>_xlfn.XLOOKUP(processed_orders!C12, 'product_costs '!$A$2:$A$3, 'product_costs '!$B$2:$B$3)</f>
        <v>3.75</v>
      </c>
      <c r="H12">
        <f>_xlfn.XLOOKUP(processed_orders!C12, 'product_costs '!$A$2:$A$3, 'product_costs '!$C$2:$C$3)</f>
        <v>1.1200000000000001</v>
      </c>
      <c r="I12">
        <f>_xlfn.XLOOKUP(C12, 'product_costs '!$A$2:$A$3, 'product_costs '!$D$2:$D$3)</f>
        <v>1</v>
      </c>
      <c r="J12">
        <f>_xlfn.XLOOKUP(processed_orders!C12, 'product_costs '!$A$2:$A$3, 'product_costs '!$E$2:$E$3)</f>
        <v>5.87</v>
      </c>
      <c r="K12">
        <f>E12*_xlfn.XLOOKUP("Referral Fee", fee_lookup!A:A, fee_lookup!C:C)</f>
        <v>2.8484999999999996</v>
      </c>
      <c r="L12">
        <f>_xlfn.XLOOKUP(C12, fee_lookup!D:D, fee_lookup!C:C)</f>
        <v>4.2</v>
      </c>
      <c r="M12">
        <f>fee_lookup!$C$5</f>
        <v>0.1</v>
      </c>
      <c r="N12">
        <f t="shared" si="1"/>
        <v>7.1484999999999994</v>
      </c>
      <c r="O12">
        <f t="shared" si="2"/>
        <v>13.0185</v>
      </c>
      <c r="P12">
        <f t="shared" si="3"/>
        <v>5.9714999999999989</v>
      </c>
      <c r="Q12">
        <f t="shared" si="4"/>
        <v>0.31445497630331748</v>
      </c>
    </row>
    <row r="13" spans="1:18" x14ac:dyDescent="0.2">
      <c r="A13" s="2" t="s">
        <v>23</v>
      </c>
      <c r="B13" s="2">
        <v>46001</v>
      </c>
      <c r="C13" t="s">
        <v>39</v>
      </c>
      <c r="D13">
        <v>1</v>
      </c>
      <c r="E13">
        <v>18.989999999999998</v>
      </c>
      <c r="F13">
        <f t="shared" si="0"/>
        <v>18.989999999999998</v>
      </c>
      <c r="G13">
        <f>_xlfn.XLOOKUP(processed_orders!C13, 'product_costs '!$A$2:$A$3, 'product_costs '!$B$2:$B$3)</f>
        <v>3.75</v>
      </c>
      <c r="H13">
        <f>_xlfn.XLOOKUP(processed_orders!C13, 'product_costs '!$A$2:$A$3, 'product_costs '!$C$2:$C$3)</f>
        <v>1.1200000000000001</v>
      </c>
      <c r="I13">
        <f>_xlfn.XLOOKUP(C13, 'product_costs '!$A$2:$A$3, 'product_costs '!$D$2:$D$3)</f>
        <v>1</v>
      </c>
      <c r="J13">
        <f>_xlfn.XLOOKUP(processed_orders!C13, 'product_costs '!$A$2:$A$3, 'product_costs '!$E$2:$E$3)</f>
        <v>5.87</v>
      </c>
      <c r="K13">
        <f>E13*_xlfn.XLOOKUP("Referral Fee", fee_lookup!A:A, fee_lookup!C:C)</f>
        <v>2.8484999999999996</v>
      </c>
      <c r="L13">
        <f>_xlfn.XLOOKUP(C13, fee_lookup!D:D, fee_lookup!C:C)</f>
        <v>4.2</v>
      </c>
      <c r="M13">
        <f>fee_lookup!$C$5</f>
        <v>0.1</v>
      </c>
      <c r="N13">
        <f t="shared" si="1"/>
        <v>7.1484999999999994</v>
      </c>
      <c r="O13">
        <f t="shared" si="2"/>
        <v>13.0185</v>
      </c>
      <c r="P13">
        <f t="shared" si="3"/>
        <v>5.9714999999999989</v>
      </c>
      <c r="Q13">
        <f t="shared" si="4"/>
        <v>0.31445497630331748</v>
      </c>
    </row>
    <row r="14" spans="1:18" x14ac:dyDescent="0.2">
      <c r="A14" s="2" t="s">
        <v>32</v>
      </c>
      <c r="B14" s="2">
        <v>46002</v>
      </c>
      <c r="C14" t="s">
        <v>40</v>
      </c>
      <c r="D14">
        <v>1</v>
      </c>
      <c r="E14">
        <v>39.99</v>
      </c>
      <c r="F14">
        <f t="shared" si="0"/>
        <v>39.99</v>
      </c>
      <c r="G14">
        <f>_xlfn.XLOOKUP(processed_orders!C14, 'product_costs '!$A$2:$A$3, 'product_costs '!$B$2:$B$3)</f>
        <v>7.71</v>
      </c>
      <c r="H14">
        <f>_xlfn.XLOOKUP(processed_orders!C14, 'product_costs '!$A$2:$A$3, 'product_costs '!$C$2:$C$3)</f>
        <v>1.5</v>
      </c>
      <c r="I14">
        <f>_xlfn.XLOOKUP(C14, 'product_costs '!$A$2:$A$3, 'product_costs '!$D$2:$D$3)</f>
        <v>1</v>
      </c>
      <c r="J14">
        <f>_xlfn.XLOOKUP(processed_orders!C14, 'product_costs '!$A$2:$A$3, 'product_costs '!$E$2:$E$3)</f>
        <v>10.210000000000001</v>
      </c>
      <c r="K14">
        <f>E14*_xlfn.XLOOKUP("Referral Fee", fee_lookup!A:A, fee_lookup!C:C)</f>
        <v>5.9984999999999999</v>
      </c>
      <c r="L14">
        <f>_xlfn.XLOOKUP(C14, fee_lookup!D:D, fee_lookup!C:C)</f>
        <v>7.33</v>
      </c>
      <c r="M14">
        <f>fee_lookup!$C$5</f>
        <v>0.1</v>
      </c>
      <c r="N14">
        <f t="shared" si="1"/>
        <v>13.4285</v>
      </c>
      <c r="O14">
        <f t="shared" si="2"/>
        <v>23.638500000000001</v>
      </c>
      <c r="P14">
        <f t="shared" si="3"/>
        <v>16.351500000000001</v>
      </c>
      <c r="Q14">
        <f t="shared" si="4"/>
        <v>0.40888972243060767</v>
      </c>
    </row>
    <row r="15" spans="1:18" x14ac:dyDescent="0.2">
      <c r="A15" s="2" t="s">
        <v>33</v>
      </c>
      <c r="B15" s="2">
        <v>46003</v>
      </c>
      <c r="C15" t="s">
        <v>40</v>
      </c>
      <c r="D15">
        <v>1</v>
      </c>
      <c r="E15">
        <v>39.99</v>
      </c>
      <c r="F15">
        <f t="shared" si="0"/>
        <v>39.99</v>
      </c>
      <c r="G15">
        <f>_xlfn.XLOOKUP(processed_orders!C15, 'product_costs '!$A$2:$A$3, 'product_costs '!$B$2:$B$3)</f>
        <v>7.71</v>
      </c>
      <c r="H15">
        <f>_xlfn.XLOOKUP(processed_orders!C15, 'product_costs '!$A$2:$A$3, 'product_costs '!$C$2:$C$3)</f>
        <v>1.5</v>
      </c>
      <c r="I15">
        <f>_xlfn.XLOOKUP(C15, 'product_costs '!$A$2:$A$3, 'product_costs '!$D$2:$D$3)</f>
        <v>1</v>
      </c>
      <c r="J15">
        <f>_xlfn.XLOOKUP(processed_orders!C15, 'product_costs '!$A$2:$A$3, 'product_costs '!$E$2:$E$3)</f>
        <v>10.210000000000001</v>
      </c>
      <c r="K15">
        <f>E15*_xlfn.XLOOKUP("Referral Fee", fee_lookup!A:A, fee_lookup!C:C)</f>
        <v>5.9984999999999999</v>
      </c>
      <c r="L15">
        <f>_xlfn.XLOOKUP(C15, fee_lookup!D:D, fee_lookup!C:C)</f>
        <v>7.33</v>
      </c>
      <c r="M15">
        <f>fee_lookup!$C$5</f>
        <v>0.1</v>
      </c>
      <c r="N15">
        <f t="shared" si="1"/>
        <v>13.4285</v>
      </c>
      <c r="O15">
        <f t="shared" si="2"/>
        <v>23.638500000000001</v>
      </c>
      <c r="P15">
        <f t="shared" si="3"/>
        <v>16.351500000000001</v>
      </c>
      <c r="Q15">
        <f t="shared" si="4"/>
        <v>0.40888972243060767</v>
      </c>
    </row>
    <row r="16" spans="1:18" x14ac:dyDescent="0.2">
      <c r="A16" s="2" t="s">
        <v>34</v>
      </c>
      <c r="B16" s="2">
        <v>46004</v>
      </c>
      <c r="C16" t="s">
        <v>40</v>
      </c>
      <c r="D16">
        <v>2</v>
      </c>
      <c r="E16">
        <v>39.99</v>
      </c>
      <c r="F16">
        <f t="shared" si="0"/>
        <v>79.98</v>
      </c>
      <c r="G16">
        <f>_xlfn.XLOOKUP(processed_orders!C16, 'product_costs '!$A$2:$A$3, 'product_costs '!$B$2:$B$3)</f>
        <v>7.71</v>
      </c>
      <c r="H16">
        <f>_xlfn.XLOOKUP(processed_orders!C16, 'product_costs '!$A$2:$A$3, 'product_costs '!$C$2:$C$3)</f>
        <v>1.5</v>
      </c>
      <c r="I16">
        <f>_xlfn.XLOOKUP(C16, 'product_costs '!$A$2:$A$3, 'product_costs '!$D$2:$D$3)</f>
        <v>1</v>
      </c>
      <c r="J16">
        <f>_xlfn.XLOOKUP(processed_orders!C16, 'product_costs '!$A$2:$A$3, 'product_costs '!$E$2:$E$3)</f>
        <v>10.210000000000001</v>
      </c>
      <c r="K16">
        <f>E16*_xlfn.XLOOKUP("Referral Fee", fee_lookup!A:A, fee_lookup!C:C)</f>
        <v>5.9984999999999999</v>
      </c>
      <c r="L16">
        <f>_xlfn.XLOOKUP(C16, fee_lookup!D:D, fee_lookup!C:C)</f>
        <v>7.33</v>
      </c>
      <c r="M16">
        <f>fee_lookup!$C$5</f>
        <v>0.1</v>
      </c>
      <c r="N16">
        <f t="shared" si="1"/>
        <v>13.4285</v>
      </c>
      <c r="O16">
        <f t="shared" si="2"/>
        <v>23.638500000000001</v>
      </c>
      <c r="P16">
        <f t="shared" si="3"/>
        <v>56.341500000000003</v>
      </c>
      <c r="Q16">
        <f t="shared" si="4"/>
        <v>0.70444486121530381</v>
      </c>
    </row>
    <row r="17" spans="1:17" x14ac:dyDescent="0.2">
      <c r="A17" s="2" t="s">
        <v>35</v>
      </c>
      <c r="B17" s="2">
        <v>46005</v>
      </c>
      <c r="C17" t="s">
        <v>40</v>
      </c>
      <c r="D17">
        <v>1</v>
      </c>
      <c r="E17">
        <v>39.99</v>
      </c>
      <c r="F17">
        <f t="shared" si="0"/>
        <v>39.99</v>
      </c>
      <c r="G17">
        <f>_xlfn.XLOOKUP(processed_orders!C17, 'product_costs '!$A$2:$A$3, 'product_costs '!$B$2:$B$3)</f>
        <v>7.71</v>
      </c>
      <c r="H17">
        <f>_xlfn.XLOOKUP(processed_orders!C17, 'product_costs '!$A$2:$A$3, 'product_costs '!$C$2:$C$3)</f>
        <v>1.5</v>
      </c>
      <c r="I17">
        <f>_xlfn.XLOOKUP(C17, 'product_costs '!$A$2:$A$3, 'product_costs '!$D$2:$D$3)</f>
        <v>1</v>
      </c>
      <c r="J17">
        <f>_xlfn.XLOOKUP(processed_orders!C17, 'product_costs '!$A$2:$A$3, 'product_costs '!$E$2:$E$3)</f>
        <v>10.210000000000001</v>
      </c>
      <c r="K17">
        <f>E17*_xlfn.XLOOKUP("Referral Fee", fee_lookup!A:A, fee_lookup!C:C)</f>
        <v>5.9984999999999999</v>
      </c>
      <c r="L17">
        <f>_xlfn.XLOOKUP(C17, fee_lookup!D:D, fee_lookup!C:C)</f>
        <v>7.33</v>
      </c>
      <c r="M17">
        <f>fee_lookup!$C$5</f>
        <v>0.1</v>
      </c>
      <c r="N17">
        <f t="shared" si="1"/>
        <v>13.4285</v>
      </c>
      <c r="O17">
        <f t="shared" si="2"/>
        <v>23.638500000000001</v>
      </c>
      <c r="P17">
        <f t="shared" si="3"/>
        <v>16.351500000000001</v>
      </c>
      <c r="Q17">
        <f t="shared" si="4"/>
        <v>0.40888972243060767</v>
      </c>
    </row>
    <row r="18" spans="1:17" x14ac:dyDescent="0.2">
      <c r="A18" s="2" t="s">
        <v>24</v>
      </c>
      <c r="B18" s="2">
        <v>46006</v>
      </c>
      <c r="C18" t="s">
        <v>39</v>
      </c>
      <c r="D18">
        <v>1</v>
      </c>
      <c r="E18">
        <v>18.989999999999998</v>
      </c>
      <c r="F18">
        <f t="shared" si="0"/>
        <v>18.989999999999998</v>
      </c>
      <c r="G18">
        <f>_xlfn.XLOOKUP(processed_orders!C18, 'product_costs '!$A$2:$A$3, 'product_costs '!$B$2:$B$3)</f>
        <v>3.75</v>
      </c>
      <c r="H18">
        <f>_xlfn.XLOOKUP(processed_orders!C18, 'product_costs '!$A$2:$A$3, 'product_costs '!$C$2:$C$3)</f>
        <v>1.1200000000000001</v>
      </c>
      <c r="I18">
        <f>_xlfn.XLOOKUP(C18, 'product_costs '!$A$2:$A$3, 'product_costs '!$D$2:$D$3)</f>
        <v>1</v>
      </c>
      <c r="J18">
        <f>_xlfn.XLOOKUP(processed_orders!C18, 'product_costs '!$A$2:$A$3, 'product_costs '!$E$2:$E$3)</f>
        <v>5.87</v>
      </c>
      <c r="K18">
        <f>E18*_xlfn.XLOOKUP("Referral Fee", fee_lookup!A:A, fee_lookup!C:C)</f>
        <v>2.8484999999999996</v>
      </c>
      <c r="L18">
        <f>_xlfn.XLOOKUP(C18, fee_lookup!D:D, fee_lookup!C:C)</f>
        <v>4.2</v>
      </c>
      <c r="M18">
        <f>fee_lookup!$C$5</f>
        <v>0.1</v>
      </c>
      <c r="N18">
        <f t="shared" si="1"/>
        <v>7.1484999999999994</v>
      </c>
      <c r="O18">
        <f t="shared" si="2"/>
        <v>13.0185</v>
      </c>
      <c r="P18">
        <f t="shared" si="3"/>
        <v>5.9714999999999989</v>
      </c>
      <c r="Q18">
        <f t="shared" si="4"/>
        <v>0.31445497630331748</v>
      </c>
    </row>
    <row r="19" spans="1:17" x14ac:dyDescent="0.2">
      <c r="A19" s="2" t="s">
        <v>36</v>
      </c>
      <c r="B19" s="2">
        <v>46007</v>
      </c>
      <c r="C19" t="s">
        <v>40</v>
      </c>
      <c r="D19">
        <v>1</v>
      </c>
      <c r="E19">
        <v>39.99</v>
      </c>
      <c r="F19">
        <f t="shared" si="0"/>
        <v>39.99</v>
      </c>
      <c r="G19">
        <f>_xlfn.XLOOKUP(processed_orders!C19, 'product_costs '!$A$2:$A$3, 'product_costs '!$B$2:$B$3)</f>
        <v>7.71</v>
      </c>
      <c r="H19">
        <f>_xlfn.XLOOKUP(processed_orders!C19, 'product_costs '!$A$2:$A$3, 'product_costs '!$C$2:$C$3)</f>
        <v>1.5</v>
      </c>
      <c r="I19">
        <f>_xlfn.XLOOKUP(C19, 'product_costs '!$A$2:$A$3, 'product_costs '!$D$2:$D$3)</f>
        <v>1</v>
      </c>
      <c r="J19">
        <f>_xlfn.XLOOKUP(processed_orders!C19, 'product_costs '!$A$2:$A$3, 'product_costs '!$E$2:$E$3)</f>
        <v>10.210000000000001</v>
      </c>
      <c r="K19">
        <f>E19*_xlfn.XLOOKUP("Referral Fee", fee_lookup!A:A, fee_lookup!C:C)</f>
        <v>5.9984999999999999</v>
      </c>
      <c r="L19">
        <f>_xlfn.XLOOKUP(C19, fee_lookup!D:D, fee_lookup!C:C)</f>
        <v>7.33</v>
      </c>
      <c r="M19">
        <f>fee_lookup!$C$5</f>
        <v>0.1</v>
      </c>
      <c r="N19">
        <f t="shared" si="1"/>
        <v>13.4285</v>
      </c>
      <c r="O19">
        <f t="shared" si="2"/>
        <v>23.638500000000001</v>
      </c>
      <c r="P19">
        <f t="shared" si="3"/>
        <v>16.351500000000001</v>
      </c>
      <c r="Q19">
        <f t="shared" si="4"/>
        <v>0.40888972243060767</v>
      </c>
    </row>
    <row r="20" spans="1:17" x14ac:dyDescent="0.2">
      <c r="A20" s="2" t="s">
        <v>37</v>
      </c>
      <c r="B20" s="2">
        <v>46008</v>
      </c>
      <c r="C20" t="s">
        <v>40</v>
      </c>
      <c r="D20">
        <v>1</v>
      </c>
      <c r="E20">
        <v>39.99</v>
      </c>
      <c r="F20">
        <f t="shared" si="0"/>
        <v>39.99</v>
      </c>
      <c r="G20">
        <f>_xlfn.XLOOKUP(processed_orders!C20, 'product_costs '!$A$2:$A$3, 'product_costs '!$B$2:$B$3)</f>
        <v>7.71</v>
      </c>
      <c r="H20">
        <f>_xlfn.XLOOKUP(processed_orders!C20, 'product_costs '!$A$2:$A$3, 'product_costs '!$C$2:$C$3)</f>
        <v>1.5</v>
      </c>
      <c r="I20">
        <f>_xlfn.XLOOKUP(C20, 'product_costs '!$A$2:$A$3, 'product_costs '!$D$2:$D$3)</f>
        <v>1</v>
      </c>
      <c r="J20">
        <f>_xlfn.XLOOKUP(processed_orders!C20, 'product_costs '!$A$2:$A$3, 'product_costs '!$E$2:$E$3)</f>
        <v>10.210000000000001</v>
      </c>
      <c r="K20">
        <f>E20*_xlfn.XLOOKUP("Referral Fee", fee_lookup!A:A, fee_lookup!C:C)</f>
        <v>5.9984999999999999</v>
      </c>
      <c r="L20">
        <f>_xlfn.XLOOKUP(C20, fee_lookup!D:D, fee_lookup!C:C)</f>
        <v>7.33</v>
      </c>
      <c r="M20">
        <f>fee_lookup!$C$5</f>
        <v>0.1</v>
      </c>
      <c r="N20">
        <f t="shared" si="1"/>
        <v>13.4285</v>
      </c>
      <c r="O20">
        <f t="shared" si="2"/>
        <v>23.638500000000001</v>
      </c>
      <c r="P20">
        <f t="shared" si="3"/>
        <v>16.351500000000001</v>
      </c>
      <c r="Q20">
        <f t="shared" si="4"/>
        <v>0.40888972243060767</v>
      </c>
    </row>
    <row r="21" spans="1:17" x14ac:dyDescent="0.2">
      <c r="A21" s="2" t="s">
        <v>38</v>
      </c>
      <c r="B21" s="2">
        <v>46009</v>
      </c>
      <c r="C21" t="s">
        <v>40</v>
      </c>
      <c r="D21">
        <v>1</v>
      </c>
      <c r="E21">
        <v>39.99</v>
      </c>
      <c r="F21">
        <f t="shared" si="0"/>
        <v>39.99</v>
      </c>
      <c r="G21">
        <f>_xlfn.XLOOKUP(processed_orders!C21, 'product_costs '!$A$2:$A$3, 'product_costs '!$B$2:$B$3)</f>
        <v>7.71</v>
      </c>
      <c r="H21">
        <f>_xlfn.XLOOKUP(processed_orders!C21, 'product_costs '!$A$2:$A$3, 'product_costs '!$C$2:$C$3)</f>
        <v>1.5</v>
      </c>
      <c r="I21">
        <f>_xlfn.XLOOKUP(C21, 'product_costs '!$A$2:$A$3, 'product_costs '!$D$2:$D$3)</f>
        <v>1</v>
      </c>
      <c r="J21">
        <f>_xlfn.XLOOKUP(processed_orders!C21, 'product_costs '!$A$2:$A$3, 'product_costs '!$E$2:$E$3)</f>
        <v>10.210000000000001</v>
      </c>
      <c r="K21">
        <f>E21*_xlfn.XLOOKUP("Referral Fee", fee_lookup!A:A, fee_lookup!C:C)</f>
        <v>5.9984999999999999</v>
      </c>
      <c r="L21">
        <f>_xlfn.XLOOKUP(C21, fee_lookup!D:D, fee_lookup!C:C)</f>
        <v>7.33</v>
      </c>
      <c r="M21">
        <f>fee_lookup!$C$5</f>
        <v>0.1</v>
      </c>
      <c r="N21">
        <f t="shared" si="1"/>
        <v>13.4285</v>
      </c>
      <c r="O21">
        <f t="shared" si="2"/>
        <v>23.638500000000001</v>
      </c>
      <c r="P21">
        <f t="shared" si="3"/>
        <v>16.351500000000001</v>
      </c>
      <c r="Q21">
        <f t="shared" si="4"/>
        <v>0.40888972243060767</v>
      </c>
    </row>
    <row r="22" spans="1:17" x14ac:dyDescent="0.2">
      <c r="A22" s="2" t="s">
        <v>11</v>
      </c>
      <c r="B22" s="2">
        <v>46010</v>
      </c>
      <c r="C22" t="s">
        <v>40</v>
      </c>
      <c r="D22">
        <v>1</v>
      </c>
      <c r="E22">
        <v>39.99</v>
      </c>
      <c r="F22">
        <f t="shared" si="0"/>
        <v>39.99</v>
      </c>
      <c r="G22">
        <f>_xlfn.XLOOKUP(processed_orders!C22, 'product_costs '!$A$2:$A$3, 'product_costs '!$B$2:$B$3)</f>
        <v>7.71</v>
      </c>
      <c r="H22">
        <f>_xlfn.XLOOKUP(processed_orders!C22, 'product_costs '!$A$2:$A$3, 'product_costs '!$C$2:$C$3)</f>
        <v>1.5</v>
      </c>
      <c r="I22">
        <f>_xlfn.XLOOKUP(C22, 'product_costs '!$A$2:$A$3, 'product_costs '!$D$2:$D$3)</f>
        <v>1</v>
      </c>
      <c r="J22">
        <f>_xlfn.XLOOKUP(processed_orders!C22, 'product_costs '!$A$2:$A$3, 'product_costs '!$E$2:$E$3)</f>
        <v>10.210000000000001</v>
      </c>
      <c r="K22">
        <f>E22*_xlfn.XLOOKUP("Referral Fee", fee_lookup!A:A, fee_lookup!C:C)</f>
        <v>5.9984999999999999</v>
      </c>
      <c r="L22">
        <f>_xlfn.XLOOKUP(C22, fee_lookup!D:D, fee_lookup!C:C)</f>
        <v>7.33</v>
      </c>
      <c r="M22">
        <f>fee_lookup!$C$5</f>
        <v>0.1</v>
      </c>
      <c r="N22">
        <f t="shared" si="1"/>
        <v>13.4285</v>
      </c>
      <c r="O22">
        <f t="shared" si="2"/>
        <v>23.638500000000001</v>
      </c>
      <c r="P22">
        <f t="shared" si="3"/>
        <v>16.351500000000001</v>
      </c>
      <c r="Q22">
        <f t="shared" si="4"/>
        <v>0.40888972243060767</v>
      </c>
    </row>
    <row r="23" spans="1:17" x14ac:dyDescent="0.2">
      <c r="A23" s="2" t="s">
        <v>10</v>
      </c>
      <c r="B23" s="2">
        <v>46011</v>
      </c>
      <c r="C23" t="s">
        <v>40</v>
      </c>
      <c r="D23">
        <v>1</v>
      </c>
      <c r="E23">
        <v>39.99</v>
      </c>
      <c r="F23">
        <f t="shared" si="0"/>
        <v>39.99</v>
      </c>
      <c r="G23">
        <f>_xlfn.XLOOKUP(processed_orders!C23, 'product_costs '!$A$2:$A$3, 'product_costs '!$B$2:$B$3)</f>
        <v>7.71</v>
      </c>
      <c r="H23">
        <f>_xlfn.XLOOKUP(processed_orders!C23, 'product_costs '!$A$2:$A$3, 'product_costs '!$C$2:$C$3)</f>
        <v>1.5</v>
      </c>
      <c r="I23">
        <f>_xlfn.XLOOKUP(C23, 'product_costs '!$A$2:$A$3, 'product_costs '!$D$2:$D$3)</f>
        <v>1</v>
      </c>
      <c r="J23">
        <f>_xlfn.XLOOKUP(processed_orders!C23, 'product_costs '!$A$2:$A$3, 'product_costs '!$E$2:$E$3)</f>
        <v>10.210000000000001</v>
      </c>
      <c r="K23">
        <f>E23*_xlfn.XLOOKUP("Referral Fee", fee_lookup!A:A, fee_lookup!C:C)</f>
        <v>5.9984999999999999</v>
      </c>
      <c r="L23">
        <f>_xlfn.XLOOKUP(C23, fee_lookup!D:D, fee_lookup!C:C)</f>
        <v>7.33</v>
      </c>
      <c r="M23">
        <f>fee_lookup!$C$5</f>
        <v>0.1</v>
      </c>
      <c r="N23">
        <f t="shared" si="1"/>
        <v>13.4285</v>
      </c>
      <c r="O23">
        <f t="shared" si="2"/>
        <v>23.638500000000001</v>
      </c>
      <c r="P23">
        <f t="shared" si="3"/>
        <v>16.351500000000001</v>
      </c>
      <c r="Q23">
        <f t="shared" si="4"/>
        <v>0.40888972243060767</v>
      </c>
    </row>
    <row r="24" spans="1:17" x14ac:dyDescent="0.2">
      <c r="A24" s="2" t="s">
        <v>27</v>
      </c>
      <c r="B24" s="2">
        <v>46012</v>
      </c>
      <c r="C24" t="s">
        <v>40</v>
      </c>
      <c r="D24">
        <v>1</v>
      </c>
      <c r="E24">
        <v>39.99</v>
      </c>
      <c r="F24">
        <f t="shared" si="0"/>
        <v>39.99</v>
      </c>
      <c r="G24">
        <f>_xlfn.XLOOKUP(processed_orders!C24, 'product_costs '!$A$2:$A$3, 'product_costs '!$B$2:$B$3)</f>
        <v>7.71</v>
      </c>
      <c r="H24">
        <f>_xlfn.XLOOKUP(processed_orders!C24, 'product_costs '!$A$2:$A$3, 'product_costs '!$C$2:$C$3)</f>
        <v>1.5</v>
      </c>
      <c r="I24">
        <f>_xlfn.XLOOKUP(C24, 'product_costs '!$A$2:$A$3, 'product_costs '!$D$2:$D$3)</f>
        <v>1</v>
      </c>
      <c r="J24">
        <f>_xlfn.XLOOKUP(processed_orders!C24, 'product_costs '!$A$2:$A$3, 'product_costs '!$E$2:$E$3)</f>
        <v>10.210000000000001</v>
      </c>
      <c r="K24">
        <f>E24*_xlfn.XLOOKUP("Referral Fee", fee_lookup!A:A, fee_lookup!C:C)</f>
        <v>5.9984999999999999</v>
      </c>
      <c r="L24">
        <f>_xlfn.XLOOKUP(C24, fee_lookup!D:D, fee_lookup!C:C)</f>
        <v>7.33</v>
      </c>
      <c r="M24">
        <f>fee_lookup!$C$5</f>
        <v>0.1</v>
      </c>
      <c r="N24">
        <f t="shared" si="1"/>
        <v>13.4285</v>
      </c>
      <c r="O24">
        <f t="shared" si="2"/>
        <v>23.638500000000001</v>
      </c>
      <c r="P24">
        <f t="shared" si="3"/>
        <v>16.351500000000001</v>
      </c>
      <c r="Q24">
        <f t="shared" si="4"/>
        <v>0.40888972243060767</v>
      </c>
    </row>
    <row r="25" spans="1:17" x14ac:dyDescent="0.2">
      <c r="A25" s="2" t="s">
        <v>25</v>
      </c>
      <c r="B25" s="2">
        <v>46013</v>
      </c>
      <c r="C25" t="s">
        <v>39</v>
      </c>
      <c r="D25">
        <v>1</v>
      </c>
      <c r="E25">
        <v>18.989999999999998</v>
      </c>
      <c r="F25">
        <f t="shared" si="0"/>
        <v>18.989999999999998</v>
      </c>
      <c r="G25">
        <f>_xlfn.XLOOKUP(processed_orders!C25, 'product_costs '!$A$2:$A$3, 'product_costs '!$B$2:$B$3)</f>
        <v>3.75</v>
      </c>
      <c r="H25">
        <f>_xlfn.XLOOKUP(processed_orders!C25, 'product_costs '!$A$2:$A$3, 'product_costs '!$C$2:$C$3)</f>
        <v>1.1200000000000001</v>
      </c>
      <c r="I25">
        <f>_xlfn.XLOOKUP(C25, 'product_costs '!$A$2:$A$3, 'product_costs '!$D$2:$D$3)</f>
        <v>1</v>
      </c>
      <c r="J25">
        <f>_xlfn.XLOOKUP(processed_orders!C25, 'product_costs '!$A$2:$A$3, 'product_costs '!$E$2:$E$3)</f>
        <v>5.87</v>
      </c>
      <c r="K25">
        <f>E25*_xlfn.XLOOKUP("Referral Fee", fee_lookup!A:A, fee_lookup!C:C)</f>
        <v>2.8484999999999996</v>
      </c>
      <c r="L25">
        <f>_xlfn.XLOOKUP(C25, fee_lookup!D:D, fee_lookup!C:C)</f>
        <v>4.2</v>
      </c>
      <c r="M25">
        <f>fee_lookup!$C$5</f>
        <v>0.1</v>
      </c>
      <c r="N25">
        <f t="shared" si="1"/>
        <v>7.1484999999999994</v>
      </c>
      <c r="O25">
        <f t="shared" si="2"/>
        <v>13.0185</v>
      </c>
      <c r="P25">
        <f t="shared" si="3"/>
        <v>5.9714999999999989</v>
      </c>
      <c r="Q25">
        <f t="shared" si="4"/>
        <v>0.31445497630331748</v>
      </c>
    </row>
    <row r="26" spans="1:17" x14ac:dyDescent="0.2">
      <c r="A26" s="2" t="s">
        <v>26</v>
      </c>
      <c r="B26" s="2">
        <v>46014</v>
      </c>
      <c r="C26" t="s">
        <v>39</v>
      </c>
      <c r="D26">
        <v>1</v>
      </c>
      <c r="E26">
        <v>18.989999999999998</v>
      </c>
      <c r="F26">
        <f t="shared" si="0"/>
        <v>18.989999999999998</v>
      </c>
      <c r="G26">
        <f>_xlfn.XLOOKUP(processed_orders!C26, 'product_costs '!$A$2:$A$3, 'product_costs '!$B$2:$B$3)</f>
        <v>3.75</v>
      </c>
      <c r="H26">
        <f>_xlfn.XLOOKUP(processed_orders!C26, 'product_costs '!$A$2:$A$3, 'product_costs '!$C$2:$C$3)</f>
        <v>1.1200000000000001</v>
      </c>
      <c r="I26">
        <f>_xlfn.XLOOKUP(C26, 'product_costs '!$A$2:$A$3, 'product_costs '!$D$2:$D$3)</f>
        <v>1</v>
      </c>
      <c r="J26">
        <f>_xlfn.XLOOKUP(processed_orders!C26, 'product_costs '!$A$2:$A$3, 'product_costs '!$E$2:$E$3)</f>
        <v>5.87</v>
      </c>
      <c r="K26">
        <f>E26*_xlfn.XLOOKUP("Referral Fee", fee_lookup!A:A, fee_lookup!C:C)</f>
        <v>2.8484999999999996</v>
      </c>
      <c r="L26">
        <f>_xlfn.XLOOKUP(C26, fee_lookup!D:D, fee_lookup!C:C)</f>
        <v>4.2</v>
      </c>
      <c r="M26">
        <f>fee_lookup!$C$5</f>
        <v>0.1</v>
      </c>
      <c r="N26">
        <f t="shared" si="1"/>
        <v>7.1484999999999994</v>
      </c>
      <c r="O26">
        <f t="shared" si="2"/>
        <v>13.0185</v>
      </c>
      <c r="P26">
        <f t="shared" si="3"/>
        <v>5.9714999999999989</v>
      </c>
      <c r="Q26">
        <f t="shared" si="4"/>
        <v>0.31445497630331748</v>
      </c>
    </row>
    <row r="27" spans="1:17" x14ac:dyDescent="0.2">
      <c r="A27" s="2" t="s">
        <v>12</v>
      </c>
      <c r="B27" s="2">
        <v>46015</v>
      </c>
      <c r="C27" t="s">
        <v>39</v>
      </c>
      <c r="D27">
        <v>1</v>
      </c>
      <c r="E27">
        <v>18.989999999999998</v>
      </c>
      <c r="F27">
        <f t="shared" si="0"/>
        <v>18.989999999999998</v>
      </c>
      <c r="G27">
        <f>_xlfn.XLOOKUP(processed_orders!C27, 'product_costs '!$A$2:$A$3, 'product_costs '!$B$2:$B$3)</f>
        <v>3.75</v>
      </c>
      <c r="H27">
        <f>_xlfn.XLOOKUP(processed_orders!C27, 'product_costs '!$A$2:$A$3, 'product_costs '!$C$2:$C$3)</f>
        <v>1.1200000000000001</v>
      </c>
      <c r="I27">
        <f>_xlfn.XLOOKUP(C27, 'product_costs '!$A$2:$A$3, 'product_costs '!$D$2:$D$3)</f>
        <v>1</v>
      </c>
      <c r="J27">
        <f>_xlfn.XLOOKUP(processed_orders!C27, 'product_costs '!$A$2:$A$3, 'product_costs '!$E$2:$E$3)</f>
        <v>5.87</v>
      </c>
      <c r="K27">
        <f>E27*_xlfn.XLOOKUP("Referral Fee", fee_lookup!A:A, fee_lookup!C:C)</f>
        <v>2.8484999999999996</v>
      </c>
      <c r="L27">
        <f>_xlfn.XLOOKUP(C27, fee_lookup!D:D, fee_lookup!C:C)</f>
        <v>4.2</v>
      </c>
      <c r="M27">
        <f>fee_lookup!$C$5</f>
        <v>0.1</v>
      </c>
      <c r="N27">
        <f t="shared" si="1"/>
        <v>7.1484999999999994</v>
      </c>
      <c r="O27">
        <f t="shared" si="2"/>
        <v>13.0185</v>
      </c>
      <c r="P27">
        <f t="shared" si="3"/>
        <v>5.9714999999999989</v>
      </c>
      <c r="Q27">
        <f t="shared" si="4"/>
        <v>0.31445497630331748</v>
      </c>
    </row>
    <row r="28" spans="1:17" x14ac:dyDescent="0.2">
      <c r="A28" s="2" t="s">
        <v>28</v>
      </c>
      <c r="B28" s="2">
        <v>46016</v>
      </c>
      <c r="C28" t="s">
        <v>40</v>
      </c>
      <c r="D28">
        <v>1</v>
      </c>
      <c r="E28">
        <v>39.99</v>
      </c>
      <c r="F28">
        <f t="shared" si="0"/>
        <v>39.99</v>
      </c>
      <c r="G28">
        <f>_xlfn.XLOOKUP(processed_orders!C28, 'product_costs '!$A$2:$A$3, 'product_costs '!$B$2:$B$3)</f>
        <v>7.71</v>
      </c>
      <c r="H28">
        <f>_xlfn.XLOOKUP(processed_orders!C28, 'product_costs '!$A$2:$A$3, 'product_costs '!$C$2:$C$3)</f>
        <v>1.5</v>
      </c>
      <c r="I28">
        <f>_xlfn.XLOOKUP(C28, 'product_costs '!$A$2:$A$3, 'product_costs '!$D$2:$D$3)</f>
        <v>1</v>
      </c>
      <c r="J28">
        <f>_xlfn.XLOOKUP(processed_orders!C28, 'product_costs '!$A$2:$A$3, 'product_costs '!$E$2:$E$3)</f>
        <v>10.210000000000001</v>
      </c>
      <c r="K28">
        <f>E28*_xlfn.XLOOKUP("Referral Fee", fee_lookup!A:A, fee_lookup!C:C)</f>
        <v>5.9984999999999999</v>
      </c>
      <c r="L28">
        <f>_xlfn.XLOOKUP(C28, fee_lookup!D:D, fee_lookup!C:C)</f>
        <v>7.33</v>
      </c>
      <c r="M28">
        <f>fee_lookup!$C$5</f>
        <v>0.1</v>
      </c>
      <c r="N28">
        <f t="shared" si="1"/>
        <v>13.4285</v>
      </c>
      <c r="O28">
        <f t="shared" si="2"/>
        <v>23.638500000000001</v>
      </c>
      <c r="P28">
        <f t="shared" si="3"/>
        <v>16.351500000000001</v>
      </c>
      <c r="Q28">
        <f t="shared" si="4"/>
        <v>0.40888972243060767</v>
      </c>
    </row>
    <row r="29" spans="1:17" x14ac:dyDescent="0.2">
      <c r="A29" s="2" t="s">
        <v>29</v>
      </c>
      <c r="B29" s="2">
        <v>46017</v>
      </c>
      <c r="C29" t="s">
        <v>40</v>
      </c>
      <c r="D29">
        <v>1</v>
      </c>
      <c r="E29">
        <v>39.99</v>
      </c>
      <c r="F29">
        <f t="shared" si="0"/>
        <v>39.99</v>
      </c>
      <c r="G29">
        <f>_xlfn.XLOOKUP(processed_orders!C29, 'product_costs '!$A$2:$A$3, 'product_costs '!$B$2:$B$3)</f>
        <v>7.71</v>
      </c>
      <c r="H29">
        <f>_xlfn.XLOOKUP(processed_orders!C29, 'product_costs '!$A$2:$A$3, 'product_costs '!$C$2:$C$3)</f>
        <v>1.5</v>
      </c>
      <c r="I29">
        <f>_xlfn.XLOOKUP(C29, 'product_costs '!$A$2:$A$3, 'product_costs '!$D$2:$D$3)</f>
        <v>1</v>
      </c>
      <c r="J29">
        <f>_xlfn.XLOOKUP(processed_orders!C29, 'product_costs '!$A$2:$A$3, 'product_costs '!$E$2:$E$3)</f>
        <v>10.210000000000001</v>
      </c>
      <c r="K29">
        <f>E29*_xlfn.XLOOKUP("Referral Fee", fee_lookup!A:A, fee_lookup!C:C)</f>
        <v>5.9984999999999999</v>
      </c>
      <c r="L29">
        <f>_xlfn.XLOOKUP(C29, fee_lookup!D:D, fee_lookup!C:C)</f>
        <v>7.33</v>
      </c>
      <c r="M29">
        <f>fee_lookup!$C$5</f>
        <v>0.1</v>
      </c>
      <c r="N29">
        <f t="shared" si="1"/>
        <v>13.4285</v>
      </c>
      <c r="O29">
        <f t="shared" si="2"/>
        <v>23.638500000000001</v>
      </c>
      <c r="P29">
        <f t="shared" si="3"/>
        <v>16.351500000000001</v>
      </c>
      <c r="Q29">
        <f t="shared" si="4"/>
        <v>0.40888972243060767</v>
      </c>
    </row>
    <row r="30" spans="1:17" x14ac:dyDescent="0.2">
      <c r="A30" s="2" t="s">
        <v>30</v>
      </c>
      <c r="B30" s="2">
        <v>46018</v>
      </c>
      <c r="C30" t="s">
        <v>40</v>
      </c>
      <c r="D30">
        <v>1</v>
      </c>
      <c r="E30">
        <v>39.99</v>
      </c>
      <c r="F30">
        <f t="shared" si="0"/>
        <v>39.99</v>
      </c>
      <c r="G30">
        <f>_xlfn.XLOOKUP(processed_orders!C30, 'product_costs '!$A$2:$A$3, 'product_costs '!$B$2:$B$3)</f>
        <v>7.71</v>
      </c>
      <c r="H30">
        <f>_xlfn.XLOOKUP(processed_orders!C30, 'product_costs '!$A$2:$A$3, 'product_costs '!$C$2:$C$3)</f>
        <v>1.5</v>
      </c>
      <c r="I30">
        <f>_xlfn.XLOOKUP(C30, 'product_costs '!$A$2:$A$3, 'product_costs '!$D$2:$D$3)</f>
        <v>1</v>
      </c>
      <c r="J30">
        <f>_xlfn.XLOOKUP(processed_orders!C30, 'product_costs '!$A$2:$A$3, 'product_costs '!$E$2:$E$3)</f>
        <v>10.210000000000001</v>
      </c>
      <c r="K30">
        <f>E30*_xlfn.XLOOKUP("Referral Fee", fee_lookup!A:A, fee_lookup!C:C)</f>
        <v>5.9984999999999999</v>
      </c>
      <c r="L30">
        <f>_xlfn.XLOOKUP(C30, fee_lookup!D:D, fee_lookup!C:C)</f>
        <v>7.33</v>
      </c>
      <c r="M30">
        <f>fee_lookup!$C$5</f>
        <v>0.1</v>
      </c>
      <c r="N30">
        <f t="shared" si="1"/>
        <v>13.4285</v>
      </c>
      <c r="O30">
        <f t="shared" si="2"/>
        <v>23.638500000000001</v>
      </c>
      <c r="P30">
        <f t="shared" si="3"/>
        <v>16.351500000000001</v>
      </c>
      <c r="Q30">
        <f t="shared" si="4"/>
        <v>0.40888972243060767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C449-78A7-DE42-A3F0-F52E08897378}">
  <dimension ref="A3:E6"/>
  <sheetViews>
    <sheetView workbookViewId="0">
      <selection activeCell="F37" sqref="F37"/>
    </sheetView>
  </sheetViews>
  <sheetFormatPr baseColWidth="10" defaultRowHeight="16" x14ac:dyDescent="0.2"/>
  <cols>
    <col min="1" max="1" width="13.33203125" customWidth="1"/>
    <col min="2" max="2" width="13.6640625" bestFit="1" customWidth="1"/>
    <col min="3" max="3" width="15.5" bestFit="1" customWidth="1"/>
    <col min="4" max="4" width="15.1640625" bestFit="1" customWidth="1"/>
    <col min="5" max="5" width="21.6640625" bestFit="1" customWidth="1"/>
  </cols>
  <sheetData>
    <row r="3" spans="1:5" x14ac:dyDescent="0.2">
      <c r="A3" s="4" t="s">
        <v>70</v>
      </c>
      <c r="B3" t="s">
        <v>72</v>
      </c>
      <c r="C3" t="s">
        <v>73</v>
      </c>
      <c r="D3" t="s">
        <v>74</v>
      </c>
      <c r="E3" t="s">
        <v>75</v>
      </c>
    </row>
    <row r="4" spans="1:5" x14ac:dyDescent="0.2">
      <c r="A4" s="5" t="s">
        <v>39</v>
      </c>
      <c r="B4" s="6">
        <v>284.85000000000002</v>
      </c>
      <c r="C4" s="6">
        <v>195.27749999999995</v>
      </c>
      <c r="D4" s="6">
        <v>89.572499999999962</v>
      </c>
      <c r="E4" s="6">
        <v>0.31445497630331748</v>
      </c>
    </row>
    <row r="5" spans="1:5" x14ac:dyDescent="0.2">
      <c r="A5" s="5" t="s">
        <v>40</v>
      </c>
      <c r="B5" s="6">
        <v>599.85</v>
      </c>
      <c r="C5" s="6">
        <v>330.93900000000002</v>
      </c>
      <c r="D5" s="6">
        <v>268.91099999999994</v>
      </c>
      <c r="E5" s="6">
        <v>0.43000080377237182</v>
      </c>
    </row>
    <row r="6" spans="1:5" x14ac:dyDescent="0.2">
      <c r="A6" s="5" t="s">
        <v>71</v>
      </c>
      <c r="B6" s="6">
        <v>884.70000000000016</v>
      </c>
      <c r="C6" s="6">
        <v>526.21650000000011</v>
      </c>
      <c r="D6" s="6">
        <v>358.48349999999982</v>
      </c>
      <c r="E6" s="6">
        <v>0.37023572059872312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1F8A-5035-6445-93D8-F8A12ACDDA88}">
  <dimension ref="A1:E6"/>
  <sheetViews>
    <sheetView workbookViewId="0">
      <selection activeCell="A17" sqref="A17"/>
    </sheetView>
  </sheetViews>
  <sheetFormatPr baseColWidth="10" defaultRowHeight="16" x14ac:dyDescent="0.2"/>
  <cols>
    <col min="1" max="1" width="27.5" customWidth="1"/>
    <col min="2" max="2" width="16.5" customWidth="1"/>
    <col min="3" max="3" width="23" customWidth="1"/>
  </cols>
  <sheetData>
    <row r="1" spans="1:5" x14ac:dyDescent="0.2">
      <c r="A1" s="1"/>
      <c r="B1" s="1"/>
      <c r="C1" s="1"/>
      <c r="D1" s="1"/>
      <c r="E1" s="1"/>
    </row>
    <row r="2" spans="1:5" x14ac:dyDescent="0.2">
      <c r="A2" s="1"/>
    </row>
    <row r="3" spans="1:5" x14ac:dyDescent="0.2">
      <c r="A3" s="1" t="s">
        <v>76</v>
      </c>
      <c r="B3">
        <f>SUM(orders_raw!H2:H1000)</f>
        <v>884.70000000000016</v>
      </c>
    </row>
    <row r="4" spans="1:5" x14ac:dyDescent="0.2">
      <c r="A4" s="1" t="s">
        <v>77</v>
      </c>
      <c r="B4">
        <f>SUM(tbl_processed[revenue])</f>
        <v>884.70000000000016</v>
      </c>
    </row>
    <row r="5" spans="1:5" x14ac:dyDescent="0.2">
      <c r="A5" s="1" t="s">
        <v>78</v>
      </c>
      <c r="B5">
        <f>B4-B3</f>
        <v>0</v>
      </c>
    </row>
    <row r="6" spans="1:5" x14ac:dyDescent="0.2">
      <c r="A6" s="1" t="s">
        <v>79</v>
      </c>
      <c r="B6" t="str">
        <f>IF(ABS(B5)&lt;0.01,"PASS","FAIL")</f>
        <v>PASS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2CD86-E554-8B49-B171-CC79D8336FB4}">
  <dimension ref="A1:L5"/>
  <sheetViews>
    <sheetView workbookViewId="0">
      <selection activeCell="H33" sqref="H33"/>
    </sheetView>
  </sheetViews>
  <sheetFormatPr baseColWidth="10" defaultRowHeight="16" x14ac:dyDescent="0.2"/>
  <cols>
    <col min="2" max="2" width="16" customWidth="1"/>
    <col min="3" max="3" width="20.83203125" customWidth="1"/>
    <col min="4" max="4" width="13.33203125" customWidth="1"/>
    <col min="5" max="5" width="17.5" customWidth="1"/>
    <col min="6" max="6" width="25.1640625" customWidth="1"/>
    <col min="7" max="7" width="30.1640625" customWidth="1"/>
    <col min="8" max="8" width="21.1640625" customWidth="1"/>
    <col min="12" max="12" width="17.33203125" customWidth="1"/>
  </cols>
  <sheetData>
    <row r="1" spans="1:12" x14ac:dyDescent="0.2">
      <c r="A1" s="1" t="s">
        <v>2</v>
      </c>
      <c r="B1" s="1" t="s">
        <v>81</v>
      </c>
      <c r="C1" s="1" t="s">
        <v>82</v>
      </c>
      <c r="D1" s="1" t="s">
        <v>83</v>
      </c>
      <c r="E1" s="1" t="s">
        <v>84</v>
      </c>
      <c r="F1" s="10" t="s">
        <v>85</v>
      </c>
      <c r="G1" s="7" t="s">
        <v>86</v>
      </c>
      <c r="H1" s="7"/>
      <c r="J1" s="1"/>
      <c r="K1" s="1"/>
      <c r="L1" s="1"/>
    </row>
    <row r="2" spans="1:12" x14ac:dyDescent="0.2">
      <c r="A2" t="s">
        <v>39</v>
      </c>
      <c r="B2">
        <f>AVERAGEIF(processed_orders!C:C, "SPICE-2T", processed_orders!D:D)</f>
        <v>1</v>
      </c>
      <c r="C2">
        <f>AVERAGEIF(processed_orders!C:C, "SPICE-2T", processed_orders!P:P)</f>
        <v>5.9714999999999971</v>
      </c>
      <c r="D2">
        <f>B2 * 30</f>
        <v>30</v>
      </c>
      <c r="E2">
        <f>C2 * 30</f>
        <v>179.14499999999992</v>
      </c>
      <c r="F2">
        <f>E2*0.9</f>
        <v>161.23049999999995</v>
      </c>
      <c r="G2" s="8">
        <f>E2*1.1</f>
        <v>197.05949999999993</v>
      </c>
      <c r="H2" s="8"/>
      <c r="L2" s="9"/>
    </row>
    <row r="3" spans="1:12" x14ac:dyDescent="0.2">
      <c r="A3" t="s">
        <v>40</v>
      </c>
      <c r="B3">
        <f>AVERAGEIF(processed_orders!C:C, "SPICE-3T", processed_orders!D:D)</f>
        <v>1.0714285714285714</v>
      </c>
      <c r="C3">
        <f>AVERAGEIF(processed_orders!C:C, "SPICE-3T", processed_orders!P:P)</f>
        <v>19.207928571428567</v>
      </c>
      <c r="D3">
        <f>B3 * 30</f>
        <v>32.142857142857139</v>
      </c>
      <c r="E3">
        <f>C3 * 30</f>
        <v>576.23785714285702</v>
      </c>
      <c r="F3">
        <f>E3*0.9</f>
        <v>518.61407142857138</v>
      </c>
      <c r="G3" s="8">
        <f>E3*1.1</f>
        <v>633.86164285714278</v>
      </c>
      <c r="H3" s="8"/>
      <c r="L3" s="9"/>
    </row>
    <row r="4" spans="1:12" x14ac:dyDescent="0.2">
      <c r="A4" t="str">
        <f>TRIM(CLEAN(J2))</f>
        <v/>
      </c>
      <c r="G4" s="8"/>
      <c r="H4" s="8"/>
      <c r="L4" s="9"/>
    </row>
    <row r="5" spans="1:12" x14ac:dyDescent="0.2">
      <c r="G5" s="8"/>
      <c r="H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orders_raw</vt:lpstr>
      <vt:lpstr>product_costs </vt:lpstr>
      <vt:lpstr>fee_lookup</vt:lpstr>
      <vt:lpstr>processed_orders</vt:lpstr>
      <vt:lpstr>pivot_sku_profitabilty</vt:lpstr>
      <vt:lpstr>reconciliation_checks</vt:lpstr>
      <vt:lpstr>forecasting_and_sensitivity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Rameen Mufti</dc:creator>
  <cp:lastModifiedBy>Rameen Mufti</cp:lastModifiedBy>
  <dcterms:created xsi:type="dcterms:W3CDTF">2025-12-30T02:40:19Z</dcterms:created>
  <dcterms:modified xsi:type="dcterms:W3CDTF">2026-01-05T06:06:51Z</dcterms:modified>
</cp:coreProperties>
</file>